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cumentos\IDA\PROYECTO\Informe Jupyter\proyecto_jupyter\proyecto_ida\"/>
    </mc:Choice>
  </mc:AlternateContent>
  <xr:revisionPtr revIDLastSave="0" documentId="13_ncr:1_{C028160F-2780-4EDB-A6F5-DAA2D780BF18}" xr6:coauthVersionLast="47" xr6:coauthVersionMax="47" xr10:uidLastSave="{00000000-0000-0000-0000-000000000000}"/>
  <bookViews>
    <workbookView xWindow="-120" yWindow="-120" windowWidth="29040" windowHeight="15720" activeTab="5" xr2:uid="{A8EC9BC3-CF1B-4CC6-9E44-770C7D1DF2D0}"/>
  </bookViews>
  <sheets>
    <sheet name="Lineal" sheetId="15" r:id="rId1"/>
    <sheet name="Potencial" sheetId="17" r:id="rId2"/>
    <sheet name="Exponencial" sheetId="14" r:id="rId3"/>
    <sheet name="Logaritmico" sheetId="16" r:id="rId4"/>
    <sheet name="Polinomica_2" sheetId="12" r:id="rId5"/>
    <sheet name="RESUMEN" sheetId="18" r:id="rId6"/>
  </sheets>
  <definedNames>
    <definedName name="_xlnm.Print_Area" localSheetId="2">Exponencial!$A$1:$I$45</definedName>
    <definedName name="_xlnm.Print_Area" localSheetId="0">Lineal!$A$1:$I$45</definedName>
    <definedName name="_xlnm.Print_Area" localSheetId="3">Logaritmico!$A$1:$I$45</definedName>
    <definedName name="_xlnm.Print_Area" localSheetId="4">Polinomica_2!$A$1:$I$45</definedName>
    <definedName name="_xlnm.Print_Area" localSheetId="1">Potencial!$A$1:$I$45</definedName>
    <definedName name="_xlnm.Print_Area" localSheetId="5">RESUMEN!$A$1:$G$26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8" l="1"/>
  <c r="F6" i="18"/>
  <c r="F7" i="18"/>
  <c r="F8" i="18"/>
  <c r="F9" i="18"/>
  <c r="F10" i="18"/>
  <c r="F4" i="18"/>
  <c r="E5" i="18"/>
  <c r="E6" i="18"/>
  <c r="E7" i="18"/>
  <c r="E8" i="18"/>
  <c r="E9" i="18"/>
  <c r="E10" i="18"/>
  <c r="E4" i="18"/>
  <c r="D5" i="18"/>
  <c r="D6" i="18"/>
  <c r="D7" i="18"/>
  <c r="D8" i="18"/>
  <c r="D9" i="18"/>
  <c r="D10" i="18"/>
  <c r="D4" i="18"/>
  <c r="C5" i="18"/>
  <c r="C6" i="18"/>
  <c r="C7" i="18"/>
  <c r="C8" i="18"/>
  <c r="C9" i="18"/>
  <c r="C10" i="18"/>
  <c r="C4" i="18"/>
  <c r="A5" i="18"/>
  <c r="A6" i="18"/>
  <c r="A7" i="18"/>
  <c r="A8" i="18"/>
  <c r="A9" i="18"/>
  <c r="A10" i="18"/>
  <c r="A4" i="18"/>
  <c r="B9" i="18"/>
  <c r="B10" i="18"/>
  <c r="B5" i="18"/>
  <c r="B6" i="18"/>
  <c r="B7" i="18"/>
  <c r="B8" i="18"/>
  <c r="B4" i="18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D29" i="17"/>
  <c r="D30" i="17"/>
  <c r="D31" i="17"/>
  <c r="D32" i="17"/>
  <c r="R120" i="17"/>
  <c r="I120" i="17"/>
  <c r="H120" i="17"/>
  <c r="G120" i="17"/>
  <c r="E120" i="17"/>
  <c r="C120" i="17"/>
  <c r="R119" i="17"/>
  <c r="I119" i="17"/>
  <c r="H119" i="17"/>
  <c r="G119" i="17"/>
  <c r="E119" i="17"/>
  <c r="C119" i="17"/>
  <c r="R118" i="17"/>
  <c r="I118" i="17"/>
  <c r="H118" i="17"/>
  <c r="G118" i="17"/>
  <c r="E118" i="17"/>
  <c r="C118" i="17"/>
  <c r="R117" i="17"/>
  <c r="I117" i="17"/>
  <c r="H117" i="17"/>
  <c r="G117" i="17"/>
  <c r="E117" i="17"/>
  <c r="C117" i="17"/>
  <c r="R116" i="17"/>
  <c r="I116" i="17"/>
  <c r="H116" i="17"/>
  <c r="G116" i="17"/>
  <c r="E116" i="17"/>
  <c r="C116" i="17"/>
  <c r="R115" i="17"/>
  <c r="I115" i="17"/>
  <c r="H115" i="17"/>
  <c r="G115" i="17"/>
  <c r="E115" i="17"/>
  <c r="C115" i="17"/>
  <c r="R114" i="17"/>
  <c r="I114" i="17"/>
  <c r="H114" i="17"/>
  <c r="G114" i="17"/>
  <c r="E114" i="17"/>
  <c r="C114" i="17"/>
  <c r="R113" i="17"/>
  <c r="I113" i="17"/>
  <c r="H113" i="17"/>
  <c r="G113" i="17"/>
  <c r="E113" i="17"/>
  <c r="C113" i="17"/>
  <c r="R112" i="17"/>
  <c r="I112" i="17"/>
  <c r="H112" i="17"/>
  <c r="G112" i="17"/>
  <c r="E112" i="17"/>
  <c r="C112" i="17"/>
  <c r="R111" i="17"/>
  <c r="I111" i="17"/>
  <c r="H111" i="17"/>
  <c r="G111" i="17"/>
  <c r="E111" i="17"/>
  <c r="C111" i="17"/>
  <c r="R110" i="17"/>
  <c r="I110" i="17"/>
  <c r="H110" i="17"/>
  <c r="G110" i="17"/>
  <c r="E110" i="17"/>
  <c r="C110" i="17"/>
  <c r="R109" i="17"/>
  <c r="I109" i="17"/>
  <c r="H109" i="17"/>
  <c r="G109" i="17"/>
  <c r="E109" i="17"/>
  <c r="C109" i="17"/>
  <c r="R108" i="17"/>
  <c r="I108" i="17"/>
  <c r="H108" i="17"/>
  <c r="G108" i="17"/>
  <c r="E108" i="17"/>
  <c r="C108" i="17"/>
  <c r="R107" i="17"/>
  <c r="I107" i="17"/>
  <c r="H107" i="17"/>
  <c r="G107" i="17"/>
  <c r="E107" i="17"/>
  <c r="C107" i="17"/>
  <c r="R106" i="17"/>
  <c r="I106" i="17"/>
  <c r="H106" i="17"/>
  <c r="G106" i="17"/>
  <c r="E106" i="17"/>
  <c r="C106" i="17"/>
  <c r="R105" i="17"/>
  <c r="I105" i="17"/>
  <c r="H105" i="17"/>
  <c r="G105" i="17"/>
  <c r="E105" i="17"/>
  <c r="C105" i="17"/>
  <c r="R104" i="17"/>
  <c r="I104" i="17"/>
  <c r="H104" i="17"/>
  <c r="G104" i="17"/>
  <c r="E104" i="17"/>
  <c r="C104" i="17"/>
  <c r="R103" i="17"/>
  <c r="I103" i="17"/>
  <c r="H103" i="17"/>
  <c r="G103" i="17"/>
  <c r="E103" i="17"/>
  <c r="C103" i="17"/>
  <c r="R102" i="17"/>
  <c r="I102" i="17"/>
  <c r="H102" i="17"/>
  <c r="G102" i="17"/>
  <c r="E102" i="17"/>
  <c r="C102" i="17"/>
  <c r="R101" i="17"/>
  <c r="I101" i="17"/>
  <c r="H101" i="17"/>
  <c r="G101" i="17"/>
  <c r="E101" i="17"/>
  <c r="C101" i="17"/>
  <c r="R100" i="17"/>
  <c r="I100" i="17"/>
  <c r="H100" i="17"/>
  <c r="G100" i="17"/>
  <c r="E100" i="17"/>
  <c r="C100" i="17"/>
  <c r="R99" i="17"/>
  <c r="I99" i="17"/>
  <c r="H99" i="17"/>
  <c r="G99" i="17"/>
  <c r="E99" i="17"/>
  <c r="C99" i="17"/>
  <c r="R98" i="17"/>
  <c r="I98" i="17"/>
  <c r="H98" i="17"/>
  <c r="G98" i="17"/>
  <c r="E98" i="17"/>
  <c r="C98" i="17"/>
  <c r="R97" i="17"/>
  <c r="I97" i="17"/>
  <c r="H97" i="17"/>
  <c r="G97" i="17"/>
  <c r="E97" i="17"/>
  <c r="C97" i="17"/>
  <c r="R96" i="17"/>
  <c r="I96" i="17"/>
  <c r="H96" i="17"/>
  <c r="G96" i="17"/>
  <c r="E96" i="17"/>
  <c r="C96" i="17"/>
  <c r="R95" i="17"/>
  <c r="I95" i="17"/>
  <c r="H95" i="17"/>
  <c r="G95" i="17"/>
  <c r="E95" i="17"/>
  <c r="C95" i="17"/>
  <c r="R94" i="17"/>
  <c r="I94" i="17"/>
  <c r="H94" i="17"/>
  <c r="G94" i="17"/>
  <c r="E94" i="17"/>
  <c r="C94" i="17"/>
  <c r="R93" i="17"/>
  <c r="I93" i="17"/>
  <c r="H93" i="17"/>
  <c r="G93" i="17"/>
  <c r="E93" i="17"/>
  <c r="C93" i="17"/>
  <c r="R92" i="17"/>
  <c r="I92" i="17"/>
  <c r="H92" i="17"/>
  <c r="G92" i="17"/>
  <c r="E92" i="17"/>
  <c r="C92" i="17"/>
  <c r="R91" i="17"/>
  <c r="I91" i="17"/>
  <c r="H91" i="17"/>
  <c r="G91" i="17"/>
  <c r="E91" i="17"/>
  <c r="C91" i="17"/>
  <c r="R90" i="17"/>
  <c r="I90" i="17"/>
  <c r="H90" i="17"/>
  <c r="G90" i="17"/>
  <c r="E90" i="17"/>
  <c r="C90" i="17"/>
  <c r="R89" i="17"/>
  <c r="I89" i="17"/>
  <c r="H89" i="17"/>
  <c r="G89" i="17"/>
  <c r="E89" i="17"/>
  <c r="C89" i="17"/>
  <c r="R88" i="17"/>
  <c r="I88" i="17"/>
  <c r="H88" i="17"/>
  <c r="G88" i="17"/>
  <c r="E88" i="17"/>
  <c r="C88" i="17"/>
  <c r="R87" i="17"/>
  <c r="I87" i="17"/>
  <c r="H87" i="17"/>
  <c r="G87" i="17"/>
  <c r="E87" i="17"/>
  <c r="C87" i="17"/>
  <c r="R86" i="17"/>
  <c r="I86" i="17"/>
  <c r="H86" i="17"/>
  <c r="G86" i="17"/>
  <c r="E86" i="17"/>
  <c r="C86" i="17"/>
  <c r="R85" i="17"/>
  <c r="I85" i="17"/>
  <c r="H85" i="17"/>
  <c r="G85" i="17"/>
  <c r="E85" i="17"/>
  <c r="C85" i="17"/>
  <c r="R84" i="17"/>
  <c r="I84" i="17"/>
  <c r="H84" i="17"/>
  <c r="G84" i="17"/>
  <c r="E84" i="17"/>
  <c r="C84" i="17"/>
  <c r="R83" i="17"/>
  <c r="I83" i="17"/>
  <c r="H83" i="17"/>
  <c r="G83" i="17"/>
  <c r="E83" i="17"/>
  <c r="C83" i="17"/>
  <c r="R82" i="17"/>
  <c r="I82" i="17"/>
  <c r="H82" i="17"/>
  <c r="G82" i="17"/>
  <c r="E82" i="17"/>
  <c r="C82" i="17"/>
  <c r="R81" i="17"/>
  <c r="I81" i="17"/>
  <c r="H81" i="17"/>
  <c r="G81" i="17"/>
  <c r="E81" i="17"/>
  <c r="C81" i="17"/>
  <c r="R80" i="17"/>
  <c r="I80" i="17"/>
  <c r="H80" i="17"/>
  <c r="G80" i="17"/>
  <c r="E80" i="17"/>
  <c r="C80" i="17"/>
  <c r="R79" i="17"/>
  <c r="I79" i="17"/>
  <c r="H79" i="17"/>
  <c r="G79" i="17"/>
  <c r="E79" i="17"/>
  <c r="C79" i="17"/>
  <c r="R78" i="17"/>
  <c r="I78" i="17"/>
  <c r="H78" i="17"/>
  <c r="G78" i="17"/>
  <c r="E78" i="17"/>
  <c r="C78" i="17"/>
  <c r="R77" i="17"/>
  <c r="I77" i="17"/>
  <c r="H77" i="17"/>
  <c r="G77" i="17"/>
  <c r="E77" i="17"/>
  <c r="C77" i="17"/>
  <c r="R76" i="17"/>
  <c r="I76" i="17"/>
  <c r="H76" i="17"/>
  <c r="G76" i="17"/>
  <c r="E76" i="17"/>
  <c r="C76" i="17"/>
  <c r="R75" i="17"/>
  <c r="I75" i="17"/>
  <c r="H75" i="17"/>
  <c r="G75" i="17"/>
  <c r="E75" i="17"/>
  <c r="C75" i="17"/>
  <c r="R74" i="17"/>
  <c r="I74" i="17"/>
  <c r="H74" i="17"/>
  <c r="G74" i="17"/>
  <c r="E74" i="17"/>
  <c r="C74" i="17"/>
  <c r="R73" i="17"/>
  <c r="I73" i="17"/>
  <c r="H73" i="17"/>
  <c r="G73" i="17"/>
  <c r="E73" i="17"/>
  <c r="C73" i="17"/>
  <c r="R72" i="17"/>
  <c r="I72" i="17"/>
  <c r="H72" i="17"/>
  <c r="G72" i="17"/>
  <c r="E72" i="17"/>
  <c r="C72" i="17"/>
  <c r="R71" i="17"/>
  <c r="I71" i="17"/>
  <c r="H71" i="17"/>
  <c r="G71" i="17"/>
  <c r="E71" i="17"/>
  <c r="C71" i="17"/>
  <c r="R70" i="17"/>
  <c r="I70" i="17"/>
  <c r="H70" i="17"/>
  <c r="G70" i="17"/>
  <c r="E70" i="17"/>
  <c r="C70" i="17"/>
  <c r="R69" i="17"/>
  <c r="I69" i="17"/>
  <c r="H69" i="17"/>
  <c r="G69" i="17"/>
  <c r="E69" i="17"/>
  <c r="C69" i="17"/>
  <c r="R68" i="17"/>
  <c r="I68" i="17"/>
  <c r="H68" i="17"/>
  <c r="G68" i="17"/>
  <c r="E68" i="17"/>
  <c r="C68" i="17"/>
  <c r="R67" i="17"/>
  <c r="I67" i="17"/>
  <c r="H67" i="17"/>
  <c r="G67" i="17"/>
  <c r="E67" i="17"/>
  <c r="C67" i="17"/>
  <c r="R66" i="17"/>
  <c r="I66" i="17"/>
  <c r="H66" i="17"/>
  <c r="G66" i="17"/>
  <c r="E66" i="17"/>
  <c r="C66" i="17"/>
  <c r="R65" i="17"/>
  <c r="I65" i="17"/>
  <c r="H65" i="17"/>
  <c r="G65" i="17"/>
  <c r="E65" i="17"/>
  <c r="C65" i="17"/>
  <c r="R64" i="17"/>
  <c r="I64" i="17"/>
  <c r="H64" i="17"/>
  <c r="G64" i="17"/>
  <c r="E64" i="17"/>
  <c r="C64" i="17"/>
  <c r="R63" i="17"/>
  <c r="I63" i="17"/>
  <c r="H63" i="17"/>
  <c r="G63" i="17"/>
  <c r="E63" i="17"/>
  <c r="C63" i="17"/>
  <c r="R62" i="17"/>
  <c r="I62" i="17"/>
  <c r="H62" i="17"/>
  <c r="G62" i="17"/>
  <c r="E62" i="17"/>
  <c r="C62" i="17"/>
  <c r="R61" i="17"/>
  <c r="I61" i="17"/>
  <c r="H61" i="17"/>
  <c r="G61" i="17"/>
  <c r="E61" i="17"/>
  <c r="C61" i="17"/>
  <c r="R60" i="17"/>
  <c r="I60" i="17"/>
  <c r="H60" i="17"/>
  <c r="G60" i="17"/>
  <c r="E60" i="17"/>
  <c r="C60" i="17"/>
  <c r="R59" i="17"/>
  <c r="I59" i="17"/>
  <c r="H59" i="17"/>
  <c r="G59" i="17"/>
  <c r="E59" i="17"/>
  <c r="C59" i="17"/>
  <c r="R58" i="17"/>
  <c r="I58" i="17"/>
  <c r="H58" i="17"/>
  <c r="G58" i="17"/>
  <c r="E58" i="17"/>
  <c r="C58" i="17"/>
  <c r="R57" i="17"/>
  <c r="I57" i="17"/>
  <c r="H57" i="17"/>
  <c r="G57" i="17"/>
  <c r="E57" i="17"/>
  <c r="C57" i="17"/>
  <c r="R56" i="17"/>
  <c r="I56" i="17"/>
  <c r="H56" i="17"/>
  <c r="G56" i="17"/>
  <c r="E56" i="17"/>
  <c r="C56" i="17"/>
  <c r="R55" i="17"/>
  <c r="I55" i="17"/>
  <c r="H55" i="17"/>
  <c r="G55" i="17"/>
  <c r="E55" i="17"/>
  <c r="C55" i="17"/>
  <c r="R54" i="17"/>
  <c r="I54" i="17"/>
  <c r="H54" i="17"/>
  <c r="G54" i="17"/>
  <c r="E54" i="17"/>
  <c r="C54" i="17"/>
  <c r="R53" i="17"/>
  <c r="I53" i="17"/>
  <c r="H53" i="17"/>
  <c r="G53" i="17"/>
  <c r="E53" i="17"/>
  <c r="C53" i="17"/>
  <c r="R52" i="17"/>
  <c r="I52" i="17"/>
  <c r="H52" i="17"/>
  <c r="G52" i="17"/>
  <c r="E52" i="17"/>
  <c r="C52" i="17"/>
  <c r="R51" i="17"/>
  <c r="I51" i="17"/>
  <c r="H51" i="17"/>
  <c r="G51" i="17"/>
  <c r="E51" i="17"/>
  <c r="C51" i="17"/>
  <c r="R50" i="17"/>
  <c r="I50" i="17"/>
  <c r="H50" i="17"/>
  <c r="G50" i="17"/>
  <c r="E50" i="17"/>
  <c r="C50" i="17"/>
  <c r="R49" i="17"/>
  <c r="I49" i="17"/>
  <c r="H49" i="17"/>
  <c r="G49" i="17"/>
  <c r="E49" i="17"/>
  <c r="C49" i="17"/>
  <c r="R48" i="17"/>
  <c r="I48" i="17"/>
  <c r="H48" i="17"/>
  <c r="G48" i="17"/>
  <c r="E48" i="17"/>
  <c r="C48" i="17"/>
  <c r="R47" i="17"/>
  <c r="I47" i="17"/>
  <c r="H47" i="17"/>
  <c r="G47" i="17"/>
  <c r="E47" i="17"/>
  <c r="C47" i="17"/>
  <c r="R46" i="17"/>
  <c r="I46" i="17"/>
  <c r="H46" i="17"/>
  <c r="G46" i="17"/>
  <c r="E46" i="17"/>
  <c r="C46" i="17"/>
  <c r="R45" i="17"/>
  <c r="I45" i="17"/>
  <c r="H45" i="17"/>
  <c r="G45" i="17"/>
  <c r="E45" i="17"/>
  <c r="C45" i="17"/>
  <c r="R44" i="17"/>
  <c r="I44" i="17"/>
  <c r="H44" i="17"/>
  <c r="G44" i="17"/>
  <c r="E44" i="17"/>
  <c r="C44" i="17"/>
  <c r="R43" i="17"/>
  <c r="I43" i="17"/>
  <c r="H43" i="17"/>
  <c r="G43" i="17"/>
  <c r="E43" i="17"/>
  <c r="C43" i="17"/>
  <c r="R42" i="17"/>
  <c r="I42" i="17"/>
  <c r="H42" i="17"/>
  <c r="G42" i="17"/>
  <c r="E42" i="17"/>
  <c r="C42" i="17"/>
  <c r="R41" i="17"/>
  <c r="I41" i="17"/>
  <c r="H41" i="17"/>
  <c r="G41" i="17"/>
  <c r="E41" i="17"/>
  <c r="C41" i="17"/>
  <c r="R40" i="17"/>
  <c r="I40" i="17"/>
  <c r="H40" i="17"/>
  <c r="G40" i="17"/>
  <c r="E40" i="17"/>
  <c r="C40" i="17"/>
  <c r="R39" i="17"/>
  <c r="I39" i="17"/>
  <c r="H39" i="17"/>
  <c r="G39" i="17"/>
  <c r="E39" i="17"/>
  <c r="C39" i="17"/>
  <c r="R38" i="17"/>
  <c r="I38" i="17"/>
  <c r="H38" i="17"/>
  <c r="G38" i="17"/>
  <c r="E38" i="17"/>
  <c r="C38" i="17"/>
  <c r="R37" i="17"/>
  <c r="I37" i="17"/>
  <c r="H37" i="17"/>
  <c r="G37" i="17"/>
  <c r="E37" i="17"/>
  <c r="C37" i="17"/>
  <c r="R36" i="17"/>
  <c r="I36" i="17"/>
  <c r="H36" i="17"/>
  <c r="G36" i="17"/>
  <c r="E36" i="17"/>
  <c r="C36" i="17"/>
  <c r="R35" i="17"/>
  <c r="I35" i="17"/>
  <c r="H35" i="17"/>
  <c r="G35" i="17"/>
  <c r="E35" i="17"/>
  <c r="C35" i="17"/>
  <c r="R34" i="17"/>
  <c r="I34" i="17"/>
  <c r="H34" i="17"/>
  <c r="G34" i="17"/>
  <c r="E34" i="17"/>
  <c r="C34" i="17"/>
  <c r="R33" i="17"/>
  <c r="Q33" i="17"/>
  <c r="I33" i="17"/>
  <c r="H33" i="17"/>
  <c r="G33" i="17"/>
  <c r="E33" i="17"/>
  <c r="C33" i="17"/>
  <c r="R32" i="17"/>
  <c r="Q32" i="17"/>
  <c r="I32" i="17"/>
  <c r="H32" i="17"/>
  <c r="G32" i="17"/>
  <c r="E32" i="17"/>
  <c r="C32" i="17"/>
  <c r="R31" i="17"/>
  <c r="Q31" i="17"/>
  <c r="I31" i="17"/>
  <c r="H31" i="17"/>
  <c r="E31" i="17"/>
  <c r="C31" i="17"/>
  <c r="R30" i="17"/>
  <c r="Q30" i="17"/>
  <c r="I30" i="17"/>
  <c r="H30" i="17"/>
  <c r="E30" i="17"/>
  <c r="C30" i="17"/>
  <c r="R29" i="17"/>
  <c r="Q29" i="17"/>
  <c r="I29" i="17"/>
  <c r="H29" i="17"/>
  <c r="E29" i="17"/>
  <c r="C29" i="17"/>
  <c r="E28" i="17"/>
  <c r="C28" i="17"/>
  <c r="E27" i="17"/>
  <c r="C27" i="17"/>
  <c r="E26" i="17"/>
  <c r="C26" i="17"/>
  <c r="E25" i="17"/>
  <c r="C25" i="17"/>
  <c r="I18" i="17"/>
  <c r="C15" i="17"/>
  <c r="Q29" i="16"/>
  <c r="R29" i="16"/>
  <c r="Q30" i="16"/>
  <c r="R30" i="16"/>
  <c r="Q31" i="16"/>
  <c r="R31" i="16"/>
  <c r="Q32" i="16"/>
  <c r="R32" i="16"/>
  <c r="Q33" i="16"/>
  <c r="R33" i="16"/>
  <c r="Q34" i="16"/>
  <c r="R34" i="16"/>
  <c r="Q35" i="16"/>
  <c r="R35" i="16"/>
  <c r="Q36" i="16"/>
  <c r="R36" i="16"/>
  <c r="Q37" i="16"/>
  <c r="R37" i="16"/>
  <c r="Q38" i="16"/>
  <c r="R38" i="16"/>
  <c r="Q39" i="16"/>
  <c r="R39" i="16"/>
  <c r="Q40" i="16"/>
  <c r="R40" i="16"/>
  <c r="Q41" i="16"/>
  <c r="R41" i="16"/>
  <c r="Q42" i="16"/>
  <c r="R42" i="16"/>
  <c r="Q43" i="16"/>
  <c r="R43" i="16"/>
  <c r="Q44" i="16"/>
  <c r="R44" i="16"/>
  <c r="Q45" i="16"/>
  <c r="R45" i="16"/>
  <c r="Q46" i="16"/>
  <c r="R46" i="16"/>
  <c r="Q47" i="16"/>
  <c r="R47" i="16"/>
  <c r="Q48" i="16"/>
  <c r="R48" i="16"/>
  <c r="Q49" i="16"/>
  <c r="R49" i="16"/>
  <c r="Q50" i="16"/>
  <c r="R50" i="16"/>
  <c r="Q51" i="16"/>
  <c r="R51" i="16"/>
  <c r="Q52" i="16"/>
  <c r="R52" i="16"/>
  <c r="Q53" i="16"/>
  <c r="R53" i="16"/>
  <c r="Q54" i="16"/>
  <c r="R54" i="16"/>
  <c r="Q55" i="16"/>
  <c r="R55" i="16"/>
  <c r="Q56" i="16"/>
  <c r="R56" i="16"/>
  <c r="Q57" i="16"/>
  <c r="R57" i="16"/>
  <c r="Q58" i="16"/>
  <c r="R58" i="16"/>
  <c r="Q59" i="16"/>
  <c r="R59" i="16"/>
  <c r="Q60" i="16"/>
  <c r="R60" i="16"/>
  <c r="Q61" i="16"/>
  <c r="R61" i="16"/>
  <c r="Q62" i="16"/>
  <c r="R62" i="16"/>
  <c r="Q63" i="16"/>
  <c r="R63" i="16"/>
  <c r="Q64" i="16"/>
  <c r="R64" i="16"/>
  <c r="Q65" i="16"/>
  <c r="R65" i="16"/>
  <c r="Q66" i="16"/>
  <c r="R66" i="16"/>
  <c r="Q67" i="16"/>
  <c r="R67" i="16"/>
  <c r="Q68" i="16"/>
  <c r="R68" i="16"/>
  <c r="Q69" i="16"/>
  <c r="R69" i="16"/>
  <c r="Q70" i="16"/>
  <c r="R70" i="16"/>
  <c r="Q71" i="16"/>
  <c r="R71" i="16"/>
  <c r="Q72" i="16"/>
  <c r="R72" i="16"/>
  <c r="Q73" i="16"/>
  <c r="R73" i="16"/>
  <c r="Q74" i="16"/>
  <c r="R74" i="16"/>
  <c r="Q75" i="16"/>
  <c r="R75" i="16"/>
  <c r="Q76" i="16"/>
  <c r="R76" i="16"/>
  <c r="Q77" i="16"/>
  <c r="R77" i="16"/>
  <c r="Q78" i="16"/>
  <c r="R78" i="16"/>
  <c r="Q79" i="16"/>
  <c r="R79" i="16"/>
  <c r="Q80" i="16"/>
  <c r="R80" i="16"/>
  <c r="Q81" i="16"/>
  <c r="R81" i="16"/>
  <c r="Q82" i="16"/>
  <c r="R82" i="16"/>
  <c r="Q83" i="16"/>
  <c r="R83" i="16"/>
  <c r="Q84" i="16"/>
  <c r="R84" i="16"/>
  <c r="Q85" i="16"/>
  <c r="R85" i="16"/>
  <c r="Q86" i="16"/>
  <c r="R86" i="16"/>
  <c r="Q87" i="16"/>
  <c r="R87" i="16"/>
  <c r="Q88" i="16"/>
  <c r="R88" i="16"/>
  <c r="Q89" i="16"/>
  <c r="R89" i="16"/>
  <c r="Q90" i="16"/>
  <c r="R90" i="16"/>
  <c r="Q91" i="16"/>
  <c r="R91" i="16"/>
  <c r="Q92" i="16"/>
  <c r="R92" i="16"/>
  <c r="Q93" i="16"/>
  <c r="R93" i="16"/>
  <c r="Q94" i="16"/>
  <c r="R94" i="16"/>
  <c r="Q95" i="16"/>
  <c r="R95" i="16"/>
  <c r="Q96" i="16"/>
  <c r="R96" i="16"/>
  <c r="Q97" i="16"/>
  <c r="R97" i="16"/>
  <c r="Q98" i="16"/>
  <c r="R98" i="16"/>
  <c r="Q99" i="16"/>
  <c r="R99" i="16"/>
  <c r="Q100" i="16"/>
  <c r="R100" i="16"/>
  <c r="Q101" i="16"/>
  <c r="R101" i="16"/>
  <c r="Q102" i="16"/>
  <c r="R102" i="16"/>
  <c r="Q103" i="16"/>
  <c r="R103" i="16"/>
  <c r="Q104" i="16"/>
  <c r="R104" i="16"/>
  <c r="Q105" i="16"/>
  <c r="R105" i="16"/>
  <c r="Q106" i="16"/>
  <c r="R106" i="16"/>
  <c r="Q107" i="16"/>
  <c r="R107" i="16"/>
  <c r="Q108" i="16"/>
  <c r="R108" i="16"/>
  <c r="Q109" i="16"/>
  <c r="R109" i="16"/>
  <c r="Q110" i="16"/>
  <c r="R110" i="16"/>
  <c r="Q111" i="16"/>
  <c r="R111" i="16"/>
  <c r="Q112" i="16"/>
  <c r="R112" i="16"/>
  <c r="Q113" i="16"/>
  <c r="R113" i="16"/>
  <c r="Q114" i="16"/>
  <c r="R114" i="16"/>
  <c r="Q115" i="16"/>
  <c r="R115" i="16"/>
  <c r="Q116" i="16"/>
  <c r="R116" i="16"/>
  <c r="Q117" i="16"/>
  <c r="R117" i="16"/>
  <c r="Q118" i="16"/>
  <c r="R118" i="16"/>
  <c r="Q119" i="16"/>
  <c r="R119" i="16"/>
  <c r="Q120" i="16"/>
  <c r="R120" i="16"/>
  <c r="C26" i="16"/>
  <c r="C27" i="16"/>
  <c r="C28" i="16"/>
  <c r="C29" i="16"/>
  <c r="D29" i="16"/>
  <c r="F29" i="16"/>
  <c r="G29" i="16"/>
  <c r="C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C59" i="16"/>
  <c r="D59" i="16"/>
  <c r="E59" i="16"/>
  <c r="F59" i="16"/>
  <c r="G59" i="16"/>
  <c r="C60" i="16"/>
  <c r="D60" i="16"/>
  <c r="E60" i="16"/>
  <c r="F60" i="16"/>
  <c r="G60" i="16"/>
  <c r="C61" i="16"/>
  <c r="D61" i="16"/>
  <c r="E61" i="16"/>
  <c r="F61" i="16"/>
  <c r="G61" i="16"/>
  <c r="C62" i="16"/>
  <c r="D62" i="16"/>
  <c r="E62" i="16"/>
  <c r="F62" i="16"/>
  <c r="G62" i="16"/>
  <c r="C63" i="16"/>
  <c r="D63" i="16"/>
  <c r="E63" i="16"/>
  <c r="F63" i="16"/>
  <c r="G63" i="16"/>
  <c r="C64" i="16"/>
  <c r="D64" i="16"/>
  <c r="E64" i="16"/>
  <c r="F64" i="16"/>
  <c r="G64" i="16"/>
  <c r="C65" i="16"/>
  <c r="D65" i="16"/>
  <c r="E65" i="16"/>
  <c r="F65" i="16"/>
  <c r="G65" i="16"/>
  <c r="C66" i="16"/>
  <c r="D66" i="16"/>
  <c r="E66" i="16"/>
  <c r="F66" i="16"/>
  <c r="G66" i="16"/>
  <c r="C67" i="16"/>
  <c r="D67" i="16"/>
  <c r="E67" i="16"/>
  <c r="F67" i="16"/>
  <c r="G67" i="16"/>
  <c r="C68" i="16"/>
  <c r="D68" i="16"/>
  <c r="E68" i="16"/>
  <c r="F68" i="16"/>
  <c r="G68" i="16"/>
  <c r="C69" i="16"/>
  <c r="D69" i="16"/>
  <c r="E69" i="16"/>
  <c r="F69" i="16"/>
  <c r="G69" i="16"/>
  <c r="C70" i="16"/>
  <c r="D70" i="16"/>
  <c r="E70" i="16"/>
  <c r="F70" i="16"/>
  <c r="G70" i="16"/>
  <c r="C71" i="16"/>
  <c r="D71" i="16"/>
  <c r="E71" i="16"/>
  <c r="F71" i="16"/>
  <c r="G71" i="16"/>
  <c r="C72" i="16"/>
  <c r="D72" i="16"/>
  <c r="E72" i="16"/>
  <c r="F72" i="16"/>
  <c r="G72" i="16"/>
  <c r="C73" i="16"/>
  <c r="D73" i="16"/>
  <c r="E73" i="16"/>
  <c r="F73" i="16"/>
  <c r="G73" i="16"/>
  <c r="C74" i="16"/>
  <c r="D74" i="16"/>
  <c r="E74" i="16"/>
  <c r="F74" i="16"/>
  <c r="G74" i="16"/>
  <c r="C75" i="16"/>
  <c r="D75" i="16"/>
  <c r="E75" i="16"/>
  <c r="F75" i="16"/>
  <c r="G75" i="16"/>
  <c r="C76" i="16"/>
  <c r="D76" i="16"/>
  <c r="E76" i="16"/>
  <c r="F76" i="16"/>
  <c r="G76" i="16"/>
  <c r="C77" i="16"/>
  <c r="D77" i="16"/>
  <c r="E77" i="16"/>
  <c r="F77" i="16"/>
  <c r="G77" i="16"/>
  <c r="C78" i="16"/>
  <c r="D78" i="16"/>
  <c r="E78" i="16"/>
  <c r="F78" i="16"/>
  <c r="G78" i="16"/>
  <c r="C79" i="16"/>
  <c r="D79" i="16"/>
  <c r="E79" i="16"/>
  <c r="F79" i="16"/>
  <c r="G79" i="16"/>
  <c r="C80" i="16"/>
  <c r="D80" i="16"/>
  <c r="E80" i="16"/>
  <c r="F80" i="16"/>
  <c r="G80" i="16"/>
  <c r="C81" i="16"/>
  <c r="D81" i="16"/>
  <c r="E81" i="16"/>
  <c r="F81" i="16"/>
  <c r="G81" i="16"/>
  <c r="C82" i="16"/>
  <c r="D82" i="16"/>
  <c r="E82" i="16"/>
  <c r="F82" i="16"/>
  <c r="G82" i="16"/>
  <c r="C83" i="16"/>
  <c r="D83" i="16"/>
  <c r="E83" i="16"/>
  <c r="F83" i="16"/>
  <c r="G83" i="16"/>
  <c r="C84" i="16"/>
  <c r="D84" i="16"/>
  <c r="E84" i="16"/>
  <c r="F84" i="16"/>
  <c r="G84" i="16"/>
  <c r="C85" i="16"/>
  <c r="D85" i="16"/>
  <c r="E85" i="16"/>
  <c r="F85" i="16"/>
  <c r="G85" i="16"/>
  <c r="C86" i="16"/>
  <c r="D86" i="16"/>
  <c r="E86" i="16"/>
  <c r="F86" i="16"/>
  <c r="G86" i="16"/>
  <c r="C87" i="16"/>
  <c r="D87" i="16"/>
  <c r="E87" i="16"/>
  <c r="F87" i="16"/>
  <c r="G87" i="16"/>
  <c r="C88" i="16"/>
  <c r="D88" i="16"/>
  <c r="E88" i="16"/>
  <c r="F88" i="16"/>
  <c r="G88" i="16"/>
  <c r="C89" i="16"/>
  <c r="D89" i="16"/>
  <c r="E89" i="16"/>
  <c r="F89" i="16"/>
  <c r="G89" i="16"/>
  <c r="C90" i="16"/>
  <c r="D90" i="16"/>
  <c r="E90" i="16"/>
  <c r="F90" i="16"/>
  <c r="G90" i="16"/>
  <c r="C91" i="16"/>
  <c r="D91" i="16"/>
  <c r="E91" i="16"/>
  <c r="F91" i="16"/>
  <c r="G91" i="16"/>
  <c r="C92" i="16"/>
  <c r="D92" i="16"/>
  <c r="E92" i="16"/>
  <c r="F92" i="16"/>
  <c r="G92" i="16"/>
  <c r="C93" i="16"/>
  <c r="D93" i="16"/>
  <c r="E93" i="16"/>
  <c r="F93" i="16"/>
  <c r="G93" i="16"/>
  <c r="C94" i="16"/>
  <c r="D94" i="16"/>
  <c r="E94" i="16"/>
  <c r="F94" i="16"/>
  <c r="G94" i="16"/>
  <c r="C95" i="16"/>
  <c r="D95" i="16"/>
  <c r="E95" i="16"/>
  <c r="F95" i="16"/>
  <c r="G95" i="16"/>
  <c r="C96" i="16"/>
  <c r="D96" i="16"/>
  <c r="E96" i="16"/>
  <c r="F96" i="16"/>
  <c r="G96" i="16"/>
  <c r="C97" i="16"/>
  <c r="D97" i="16"/>
  <c r="E97" i="16"/>
  <c r="F97" i="16"/>
  <c r="G97" i="16"/>
  <c r="C98" i="16"/>
  <c r="D98" i="16"/>
  <c r="E98" i="16"/>
  <c r="F98" i="16"/>
  <c r="G98" i="16"/>
  <c r="C99" i="16"/>
  <c r="D99" i="16"/>
  <c r="E99" i="16"/>
  <c r="F99" i="16"/>
  <c r="G99" i="16"/>
  <c r="C100" i="16"/>
  <c r="D100" i="16"/>
  <c r="E100" i="16"/>
  <c r="F100" i="16"/>
  <c r="G100" i="16"/>
  <c r="C101" i="16"/>
  <c r="D101" i="16"/>
  <c r="E101" i="16"/>
  <c r="F101" i="16"/>
  <c r="G101" i="16"/>
  <c r="C102" i="16"/>
  <c r="D102" i="16"/>
  <c r="E102" i="16"/>
  <c r="F102" i="16"/>
  <c r="G102" i="16"/>
  <c r="C103" i="16"/>
  <c r="D103" i="16"/>
  <c r="E103" i="16"/>
  <c r="F103" i="16"/>
  <c r="G103" i="16"/>
  <c r="C104" i="16"/>
  <c r="D104" i="16"/>
  <c r="E104" i="16"/>
  <c r="F104" i="16"/>
  <c r="G104" i="16"/>
  <c r="C105" i="16"/>
  <c r="D105" i="16"/>
  <c r="E105" i="16"/>
  <c r="F105" i="16"/>
  <c r="G105" i="16"/>
  <c r="C106" i="16"/>
  <c r="D106" i="16"/>
  <c r="E106" i="16"/>
  <c r="F106" i="16"/>
  <c r="G106" i="16"/>
  <c r="C107" i="16"/>
  <c r="D107" i="16"/>
  <c r="E107" i="16"/>
  <c r="F107" i="16"/>
  <c r="G107" i="16"/>
  <c r="C108" i="16"/>
  <c r="D108" i="16"/>
  <c r="E108" i="16"/>
  <c r="F108" i="16"/>
  <c r="G108" i="16"/>
  <c r="C109" i="16"/>
  <c r="D109" i="16"/>
  <c r="E109" i="16"/>
  <c r="F109" i="16"/>
  <c r="G109" i="16"/>
  <c r="C110" i="16"/>
  <c r="D110" i="16"/>
  <c r="E110" i="16"/>
  <c r="F110" i="16"/>
  <c r="G110" i="16"/>
  <c r="C111" i="16"/>
  <c r="D111" i="16"/>
  <c r="E111" i="16"/>
  <c r="F111" i="16"/>
  <c r="G111" i="16"/>
  <c r="C112" i="16"/>
  <c r="D112" i="16"/>
  <c r="E112" i="16"/>
  <c r="F112" i="16"/>
  <c r="G112" i="16"/>
  <c r="C113" i="16"/>
  <c r="D113" i="16"/>
  <c r="E113" i="16"/>
  <c r="F113" i="16"/>
  <c r="G113" i="16"/>
  <c r="C114" i="16"/>
  <c r="D114" i="16"/>
  <c r="E114" i="16"/>
  <c r="F114" i="16"/>
  <c r="G114" i="16"/>
  <c r="C115" i="16"/>
  <c r="D115" i="16"/>
  <c r="E115" i="16"/>
  <c r="F115" i="16"/>
  <c r="G115" i="16"/>
  <c r="C116" i="16"/>
  <c r="D116" i="16"/>
  <c r="E116" i="16"/>
  <c r="F116" i="16"/>
  <c r="G116" i="16"/>
  <c r="C117" i="16"/>
  <c r="D117" i="16"/>
  <c r="E117" i="16"/>
  <c r="F117" i="16"/>
  <c r="G117" i="16"/>
  <c r="C118" i="16"/>
  <c r="D118" i="16"/>
  <c r="E118" i="16"/>
  <c r="F118" i="16"/>
  <c r="G118" i="16"/>
  <c r="C119" i="16"/>
  <c r="D119" i="16"/>
  <c r="E119" i="16"/>
  <c r="F119" i="16"/>
  <c r="G119" i="16"/>
  <c r="C120" i="16"/>
  <c r="D120" i="16"/>
  <c r="E120" i="16"/>
  <c r="F120" i="16"/>
  <c r="G120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C25" i="16"/>
  <c r="I18" i="16"/>
  <c r="C15" i="16"/>
  <c r="D29" i="15"/>
  <c r="E29" i="15"/>
  <c r="F29" i="15"/>
  <c r="D30" i="15"/>
  <c r="E30" i="15"/>
  <c r="F30" i="15"/>
  <c r="D31" i="15"/>
  <c r="E31" i="15"/>
  <c r="F31" i="15"/>
  <c r="D32" i="15"/>
  <c r="E32" i="15"/>
  <c r="F32" i="15"/>
  <c r="D33" i="15"/>
  <c r="E33" i="15"/>
  <c r="F33" i="15"/>
  <c r="D34" i="15"/>
  <c r="E34" i="15"/>
  <c r="F34" i="15"/>
  <c r="D35" i="15"/>
  <c r="E35" i="15"/>
  <c r="F35" i="15"/>
  <c r="D36" i="15"/>
  <c r="E36" i="15"/>
  <c r="F36" i="15"/>
  <c r="D37" i="15"/>
  <c r="E37" i="15"/>
  <c r="F37" i="15"/>
  <c r="D38" i="15"/>
  <c r="E38" i="15"/>
  <c r="F38" i="15"/>
  <c r="D39" i="15"/>
  <c r="E39" i="15"/>
  <c r="F39" i="15"/>
  <c r="D40" i="15"/>
  <c r="E40" i="15"/>
  <c r="F40" i="15"/>
  <c r="D41" i="15"/>
  <c r="E41" i="15"/>
  <c r="F41" i="15"/>
  <c r="D42" i="15"/>
  <c r="E42" i="15"/>
  <c r="F42" i="15"/>
  <c r="D43" i="15"/>
  <c r="E43" i="15"/>
  <c r="F43" i="15"/>
  <c r="D44" i="15"/>
  <c r="E44" i="15"/>
  <c r="F44" i="15"/>
  <c r="D45" i="15"/>
  <c r="E45" i="15"/>
  <c r="F45" i="15"/>
  <c r="D46" i="15"/>
  <c r="E46" i="15"/>
  <c r="F46" i="15"/>
  <c r="D47" i="15"/>
  <c r="E47" i="15"/>
  <c r="F47" i="15"/>
  <c r="D48" i="15"/>
  <c r="E48" i="15"/>
  <c r="F48" i="15"/>
  <c r="D49" i="15"/>
  <c r="E49" i="15"/>
  <c r="F49" i="15"/>
  <c r="D50" i="15"/>
  <c r="E50" i="15"/>
  <c r="F50" i="15"/>
  <c r="D51" i="15"/>
  <c r="E51" i="15"/>
  <c r="F51" i="15"/>
  <c r="D52" i="15"/>
  <c r="E52" i="15"/>
  <c r="F52" i="15"/>
  <c r="D53" i="15"/>
  <c r="E53" i="15"/>
  <c r="F53" i="15"/>
  <c r="D54" i="15"/>
  <c r="E54" i="15"/>
  <c r="F54" i="15"/>
  <c r="D55" i="15"/>
  <c r="E55" i="15"/>
  <c r="F55" i="15"/>
  <c r="D56" i="15"/>
  <c r="E56" i="15"/>
  <c r="F56" i="15"/>
  <c r="D57" i="15"/>
  <c r="E57" i="15"/>
  <c r="F57" i="15"/>
  <c r="D58" i="15"/>
  <c r="E58" i="15"/>
  <c r="F58" i="15"/>
  <c r="D59" i="15"/>
  <c r="E59" i="15"/>
  <c r="F59" i="15"/>
  <c r="D60" i="15"/>
  <c r="E60" i="15"/>
  <c r="F60" i="15"/>
  <c r="D61" i="15"/>
  <c r="E61" i="15"/>
  <c r="F61" i="15"/>
  <c r="D62" i="15"/>
  <c r="E62" i="15"/>
  <c r="F62" i="15"/>
  <c r="D63" i="15"/>
  <c r="E63" i="15"/>
  <c r="F63" i="15"/>
  <c r="D64" i="15"/>
  <c r="E64" i="15"/>
  <c r="F64" i="15"/>
  <c r="D65" i="15"/>
  <c r="E65" i="15"/>
  <c r="F65" i="15"/>
  <c r="D66" i="15"/>
  <c r="E66" i="15"/>
  <c r="F66" i="15"/>
  <c r="D67" i="15"/>
  <c r="E67" i="15"/>
  <c r="F67" i="15"/>
  <c r="D68" i="15"/>
  <c r="E68" i="15"/>
  <c r="F68" i="15"/>
  <c r="D69" i="15"/>
  <c r="E69" i="15"/>
  <c r="F69" i="15"/>
  <c r="D70" i="15"/>
  <c r="E70" i="15"/>
  <c r="F70" i="15"/>
  <c r="D71" i="15"/>
  <c r="E71" i="15"/>
  <c r="F71" i="15"/>
  <c r="D72" i="15"/>
  <c r="E72" i="15"/>
  <c r="F72" i="15"/>
  <c r="D73" i="15"/>
  <c r="E73" i="15"/>
  <c r="F73" i="15"/>
  <c r="D74" i="15"/>
  <c r="E74" i="15"/>
  <c r="F74" i="15"/>
  <c r="D75" i="15"/>
  <c r="E75" i="15"/>
  <c r="F75" i="15"/>
  <c r="D76" i="15"/>
  <c r="E76" i="15"/>
  <c r="F76" i="15"/>
  <c r="D77" i="15"/>
  <c r="E77" i="15"/>
  <c r="F77" i="15"/>
  <c r="D78" i="15"/>
  <c r="E78" i="15"/>
  <c r="F78" i="15"/>
  <c r="D79" i="15"/>
  <c r="E79" i="15"/>
  <c r="F79" i="15"/>
  <c r="D80" i="15"/>
  <c r="E80" i="15"/>
  <c r="F80" i="15"/>
  <c r="D81" i="15"/>
  <c r="E81" i="15"/>
  <c r="F81" i="15"/>
  <c r="D82" i="15"/>
  <c r="E82" i="15"/>
  <c r="F82" i="15"/>
  <c r="D83" i="15"/>
  <c r="E83" i="15"/>
  <c r="F83" i="15"/>
  <c r="D84" i="15"/>
  <c r="E84" i="15"/>
  <c r="F84" i="15"/>
  <c r="D85" i="15"/>
  <c r="E85" i="15"/>
  <c r="F85" i="15"/>
  <c r="D86" i="15"/>
  <c r="E86" i="15"/>
  <c r="F86" i="15"/>
  <c r="D87" i="15"/>
  <c r="E87" i="15"/>
  <c r="F87" i="15"/>
  <c r="D88" i="15"/>
  <c r="E88" i="15"/>
  <c r="F88" i="15"/>
  <c r="D89" i="15"/>
  <c r="E89" i="15"/>
  <c r="F89" i="15"/>
  <c r="D90" i="15"/>
  <c r="E90" i="15"/>
  <c r="F90" i="15"/>
  <c r="D91" i="15"/>
  <c r="E91" i="15"/>
  <c r="F91" i="15"/>
  <c r="D92" i="15"/>
  <c r="E92" i="15"/>
  <c r="F92" i="15"/>
  <c r="D93" i="15"/>
  <c r="E93" i="15"/>
  <c r="F93" i="15"/>
  <c r="D94" i="15"/>
  <c r="E94" i="15"/>
  <c r="F94" i="15"/>
  <c r="D95" i="15"/>
  <c r="E95" i="15"/>
  <c r="F95" i="15"/>
  <c r="D96" i="15"/>
  <c r="E96" i="15"/>
  <c r="F96" i="15"/>
  <c r="D97" i="15"/>
  <c r="E97" i="15"/>
  <c r="F97" i="15"/>
  <c r="D98" i="15"/>
  <c r="E98" i="15"/>
  <c r="F98" i="15"/>
  <c r="D99" i="15"/>
  <c r="E99" i="15"/>
  <c r="F99" i="15"/>
  <c r="D100" i="15"/>
  <c r="E100" i="15"/>
  <c r="F100" i="15"/>
  <c r="D101" i="15"/>
  <c r="E101" i="15"/>
  <c r="F101" i="15"/>
  <c r="D102" i="15"/>
  <c r="E102" i="15"/>
  <c r="F102" i="15"/>
  <c r="D103" i="15"/>
  <c r="E103" i="15"/>
  <c r="F103" i="15"/>
  <c r="D104" i="15"/>
  <c r="E104" i="15"/>
  <c r="F104" i="15"/>
  <c r="D105" i="15"/>
  <c r="E105" i="15"/>
  <c r="F105" i="15"/>
  <c r="D106" i="15"/>
  <c r="E106" i="15"/>
  <c r="F106" i="15"/>
  <c r="D107" i="15"/>
  <c r="E107" i="15"/>
  <c r="F107" i="15"/>
  <c r="D108" i="15"/>
  <c r="E108" i="15"/>
  <c r="F108" i="15"/>
  <c r="D109" i="15"/>
  <c r="E109" i="15"/>
  <c r="F109" i="15"/>
  <c r="D110" i="15"/>
  <c r="E110" i="15"/>
  <c r="F110" i="15"/>
  <c r="D111" i="15"/>
  <c r="E111" i="15"/>
  <c r="F111" i="15"/>
  <c r="D112" i="15"/>
  <c r="E112" i="15"/>
  <c r="F112" i="15"/>
  <c r="D113" i="15"/>
  <c r="E113" i="15"/>
  <c r="F113" i="15"/>
  <c r="D114" i="15"/>
  <c r="E114" i="15"/>
  <c r="F114" i="15"/>
  <c r="D115" i="15"/>
  <c r="E115" i="15"/>
  <c r="F115" i="15"/>
  <c r="D116" i="15"/>
  <c r="E116" i="15"/>
  <c r="F116" i="15"/>
  <c r="D117" i="15"/>
  <c r="E117" i="15"/>
  <c r="F117" i="15"/>
  <c r="D118" i="15"/>
  <c r="E118" i="15"/>
  <c r="F118" i="15"/>
  <c r="D119" i="15"/>
  <c r="E119" i="15"/>
  <c r="F119" i="15"/>
  <c r="D120" i="15"/>
  <c r="E120" i="15"/>
  <c r="F120" i="15"/>
  <c r="Q35" i="15"/>
  <c r="R35" i="15"/>
  <c r="Q36" i="15"/>
  <c r="R36" i="15"/>
  <c r="Q37" i="15"/>
  <c r="R37" i="15"/>
  <c r="Q38" i="15"/>
  <c r="R38" i="15"/>
  <c r="Q39" i="15"/>
  <c r="R39" i="15"/>
  <c r="Q40" i="15"/>
  <c r="R40" i="15"/>
  <c r="Q41" i="15"/>
  <c r="R41" i="15"/>
  <c r="Q42" i="15"/>
  <c r="R42" i="15"/>
  <c r="Q43" i="15"/>
  <c r="R43" i="15"/>
  <c r="Q44" i="15"/>
  <c r="R44" i="15"/>
  <c r="Q45" i="15"/>
  <c r="R45" i="15"/>
  <c r="Q46" i="15"/>
  <c r="R46" i="15"/>
  <c r="Q47" i="15"/>
  <c r="R47" i="15"/>
  <c r="Q48" i="15"/>
  <c r="R48" i="15"/>
  <c r="Q49" i="15"/>
  <c r="R49" i="15"/>
  <c r="Q50" i="15"/>
  <c r="R50" i="15"/>
  <c r="Q51" i="15"/>
  <c r="R51" i="15"/>
  <c r="Q52" i="15"/>
  <c r="R52" i="15"/>
  <c r="Q53" i="15"/>
  <c r="R53" i="15"/>
  <c r="Q54" i="15"/>
  <c r="R54" i="15"/>
  <c r="Q55" i="15"/>
  <c r="R55" i="15"/>
  <c r="Q56" i="15"/>
  <c r="R56" i="15"/>
  <c r="Q57" i="15"/>
  <c r="R57" i="15"/>
  <c r="Q58" i="15"/>
  <c r="R58" i="15"/>
  <c r="Q59" i="15"/>
  <c r="R59" i="15"/>
  <c r="Q60" i="15"/>
  <c r="R60" i="15"/>
  <c r="Q61" i="15"/>
  <c r="R61" i="15"/>
  <c r="Q62" i="15"/>
  <c r="R62" i="15"/>
  <c r="Q63" i="15"/>
  <c r="R63" i="15"/>
  <c r="Q64" i="15"/>
  <c r="R64" i="15"/>
  <c r="Q65" i="15"/>
  <c r="R65" i="15"/>
  <c r="Q66" i="15"/>
  <c r="R66" i="15"/>
  <c r="Q67" i="15"/>
  <c r="R67" i="15"/>
  <c r="Q68" i="15"/>
  <c r="R68" i="15"/>
  <c r="Q69" i="15"/>
  <c r="R69" i="15"/>
  <c r="Q70" i="15"/>
  <c r="R70" i="15"/>
  <c r="Q71" i="15"/>
  <c r="R71" i="15"/>
  <c r="Q72" i="15"/>
  <c r="R72" i="15"/>
  <c r="Q73" i="15"/>
  <c r="R73" i="15"/>
  <c r="Q74" i="15"/>
  <c r="R74" i="15"/>
  <c r="Q75" i="15"/>
  <c r="R75" i="15"/>
  <c r="Q76" i="15"/>
  <c r="R76" i="15"/>
  <c r="Q77" i="15"/>
  <c r="R77" i="15"/>
  <c r="Q78" i="15"/>
  <c r="R78" i="15"/>
  <c r="Q79" i="15"/>
  <c r="R79" i="15"/>
  <c r="Q80" i="15"/>
  <c r="R80" i="15"/>
  <c r="Q81" i="15"/>
  <c r="R81" i="15"/>
  <c r="Q82" i="15"/>
  <c r="R82" i="15"/>
  <c r="Q83" i="15"/>
  <c r="R83" i="15"/>
  <c r="Q84" i="15"/>
  <c r="R84" i="15"/>
  <c r="Q85" i="15"/>
  <c r="R85" i="15"/>
  <c r="Q86" i="15"/>
  <c r="R86" i="15"/>
  <c r="Q87" i="15"/>
  <c r="R87" i="15"/>
  <c r="Q88" i="15"/>
  <c r="R88" i="15"/>
  <c r="Q89" i="15"/>
  <c r="R89" i="15"/>
  <c r="Q90" i="15"/>
  <c r="R90" i="15"/>
  <c r="Q91" i="15"/>
  <c r="R91" i="15"/>
  <c r="Q92" i="15"/>
  <c r="R92" i="15"/>
  <c r="Q93" i="15"/>
  <c r="R93" i="15"/>
  <c r="Q94" i="15"/>
  <c r="R94" i="15"/>
  <c r="Q95" i="15"/>
  <c r="R95" i="15"/>
  <c r="Q96" i="15"/>
  <c r="R96" i="15"/>
  <c r="Q97" i="15"/>
  <c r="R97" i="15"/>
  <c r="Q98" i="15"/>
  <c r="R98" i="15"/>
  <c r="Q99" i="15"/>
  <c r="R99" i="15"/>
  <c r="Q100" i="15"/>
  <c r="R100" i="15"/>
  <c r="Q101" i="15"/>
  <c r="R101" i="15"/>
  <c r="Q102" i="15"/>
  <c r="R102" i="15"/>
  <c r="Q103" i="15"/>
  <c r="R103" i="15"/>
  <c r="Q104" i="15"/>
  <c r="R104" i="15"/>
  <c r="Q105" i="15"/>
  <c r="R105" i="15"/>
  <c r="Q106" i="15"/>
  <c r="R106" i="15"/>
  <c r="Q107" i="15"/>
  <c r="R107" i="15"/>
  <c r="Q108" i="15"/>
  <c r="R108" i="15"/>
  <c r="Q109" i="15"/>
  <c r="R109" i="15"/>
  <c r="Q110" i="15"/>
  <c r="R110" i="15"/>
  <c r="Q111" i="15"/>
  <c r="R111" i="15"/>
  <c r="Q112" i="15"/>
  <c r="R112" i="15"/>
  <c r="Q113" i="15"/>
  <c r="R113" i="15"/>
  <c r="Q114" i="15"/>
  <c r="R114" i="15"/>
  <c r="Q115" i="15"/>
  <c r="R115" i="15"/>
  <c r="Q116" i="15"/>
  <c r="R116" i="15"/>
  <c r="Q117" i="15"/>
  <c r="R117" i="15"/>
  <c r="Q118" i="15"/>
  <c r="R118" i="15"/>
  <c r="Q119" i="15"/>
  <c r="R119" i="15"/>
  <c r="Q120" i="15"/>
  <c r="R120" i="15"/>
  <c r="Q29" i="15"/>
  <c r="R29" i="15"/>
  <c r="Q30" i="15"/>
  <c r="R30" i="15"/>
  <c r="Q31" i="15"/>
  <c r="R31" i="15"/>
  <c r="Q32" i="15"/>
  <c r="R32" i="15"/>
  <c r="Q33" i="15"/>
  <c r="R33" i="15"/>
  <c r="Q34" i="15"/>
  <c r="R34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I18" i="15"/>
  <c r="C15" i="15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32" i="14"/>
  <c r="F33" i="14"/>
  <c r="F34" i="14"/>
  <c r="F35" i="14"/>
  <c r="F36" i="14"/>
  <c r="F37" i="14"/>
  <c r="F38" i="14"/>
  <c r="F39" i="14"/>
  <c r="F40" i="14"/>
  <c r="F41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29" i="14"/>
  <c r="E30" i="14"/>
  <c r="E31" i="14"/>
  <c r="E32" i="14"/>
  <c r="E33" i="14"/>
  <c r="E34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29" i="14"/>
  <c r="R30" i="14"/>
  <c r="R31" i="14"/>
  <c r="R32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25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Q33" i="14"/>
  <c r="C33" i="14"/>
  <c r="Q32" i="14"/>
  <c r="C32" i="14"/>
  <c r="Q31" i="14"/>
  <c r="C31" i="14"/>
  <c r="Q30" i="14"/>
  <c r="C30" i="14"/>
  <c r="Q29" i="14"/>
  <c r="C29" i="14"/>
  <c r="C28" i="14"/>
  <c r="C27" i="14"/>
  <c r="C26" i="14"/>
  <c r="C25" i="14"/>
  <c r="I18" i="14"/>
  <c r="C15" i="14"/>
  <c r="R29" i="12"/>
  <c r="R30" i="12"/>
  <c r="R31" i="12"/>
  <c r="R32" i="12"/>
  <c r="R33" i="12"/>
  <c r="Q29" i="12"/>
  <c r="Q30" i="12"/>
  <c r="Q31" i="12"/>
  <c r="Q32" i="12"/>
  <c r="Q33" i="12"/>
  <c r="G113" i="12"/>
  <c r="G114" i="12"/>
  <c r="G115" i="12"/>
  <c r="G116" i="12"/>
  <c r="G117" i="12"/>
  <c r="G118" i="12"/>
  <c r="G119" i="12"/>
  <c r="G120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C110" i="12"/>
  <c r="C111" i="12"/>
  <c r="C112" i="12"/>
  <c r="C113" i="12"/>
  <c r="C114" i="12"/>
  <c r="C115" i="12"/>
  <c r="C116" i="12"/>
  <c r="C117" i="12"/>
  <c r="C118" i="12"/>
  <c r="C119" i="12"/>
  <c r="C12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26" i="12"/>
  <c r="C27" i="12"/>
  <c r="C28" i="12"/>
  <c r="C29" i="12"/>
  <c r="C30" i="12"/>
  <c r="C31" i="12"/>
  <c r="C32" i="12"/>
  <c r="C33" i="12"/>
  <c r="C34" i="12"/>
  <c r="C35" i="12"/>
  <c r="C36" i="12"/>
  <c r="C25" i="12"/>
  <c r="I18" i="12"/>
  <c r="C15" i="12"/>
  <c r="F30" i="14" l="1"/>
  <c r="F31" i="14"/>
  <c r="F29" i="14"/>
  <c r="D25" i="16"/>
  <c r="E25" i="16" s="1"/>
  <c r="F25" i="16" s="1"/>
  <c r="E27" i="14"/>
  <c r="F27" i="14" s="1"/>
  <c r="E28" i="14"/>
  <c r="F28" i="14" s="1"/>
  <c r="E26" i="14"/>
  <c r="F26" i="14" s="1"/>
  <c r="E25" i="14"/>
  <c r="F25" i="14" s="1"/>
  <c r="D26" i="17"/>
  <c r="F26" i="17" s="1"/>
  <c r="D27" i="17"/>
  <c r="F27" i="17" s="1"/>
  <c r="D28" i="17"/>
  <c r="F28" i="17" s="1"/>
  <c r="D25" i="17"/>
  <c r="F25" i="17" s="1"/>
  <c r="D26" i="15"/>
  <c r="D25" i="15"/>
  <c r="E25" i="15" s="1"/>
  <c r="D28" i="15"/>
  <c r="E28" i="15" s="1"/>
  <c r="F28" i="15" s="1"/>
  <c r="D27" i="15"/>
  <c r="G28" i="17"/>
  <c r="H28" i="17" s="1"/>
  <c r="I28" i="17" s="1"/>
  <c r="G25" i="17"/>
  <c r="H25" i="17" s="1"/>
  <c r="S30" i="17"/>
  <c r="Q119" i="17"/>
  <c r="S79" i="17"/>
  <c r="S78" i="17"/>
  <c r="S76" i="17"/>
  <c r="Q73" i="17"/>
  <c r="S69" i="17"/>
  <c r="Q66" i="17"/>
  <c r="Q65" i="17"/>
  <c r="Q63" i="17"/>
  <c r="S62" i="17"/>
  <c r="S60" i="17"/>
  <c r="S59" i="17"/>
  <c r="S58" i="17"/>
  <c r="Q56" i="17"/>
  <c r="Q55" i="17"/>
  <c r="S51" i="17"/>
  <c r="Q48" i="17"/>
  <c r="Q47" i="17"/>
  <c r="Q45" i="17"/>
  <c r="Q44" i="17"/>
  <c r="S40" i="17"/>
  <c r="Q39" i="17"/>
  <c r="S38" i="17"/>
  <c r="Q35" i="17"/>
  <c r="S32" i="17"/>
  <c r="S31" i="17"/>
  <c r="S119" i="17"/>
  <c r="S118" i="17"/>
  <c r="Q118" i="17"/>
  <c r="S117" i="17"/>
  <c r="Q117" i="17"/>
  <c r="S116" i="17"/>
  <c r="Q116" i="17"/>
  <c r="S113" i="17"/>
  <c r="Q113" i="17"/>
  <c r="Q111" i="17"/>
  <c r="Q108" i="17"/>
  <c r="Q106" i="17"/>
  <c r="Q104" i="17"/>
  <c r="Q102" i="17"/>
  <c r="S101" i="17"/>
  <c r="S98" i="17"/>
  <c r="Q97" i="17"/>
  <c r="S96" i="17"/>
  <c r="Q94" i="17"/>
  <c r="S91" i="17"/>
  <c r="S90" i="17"/>
  <c r="S86" i="17"/>
  <c r="S82" i="17"/>
  <c r="Q81" i="17"/>
  <c r="Q80" i="17"/>
  <c r="Q79" i="17"/>
  <c r="Q78" i="17"/>
  <c r="Q77" i="17"/>
  <c r="Q76" i="17"/>
  <c r="S71" i="17"/>
  <c r="Q70" i="17"/>
  <c r="S66" i="17"/>
  <c r="S65" i="17"/>
  <c r="Q64" i="17"/>
  <c r="Q52" i="17"/>
  <c r="S50" i="17"/>
  <c r="S49" i="17"/>
  <c r="S48" i="17"/>
  <c r="S47" i="17"/>
  <c r="S46" i="17"/>
  <c r="S45" i="17"/>
  <c r="S44" i="17"/>
  <c r="S43" i="17"/>
  <c r="S42" i="17"/>
  <c r="S39" i="17"/>
  <c r="Q37" i="17"/>
  <c r="S36" i="17"/>
  <c r="S35" i="17"/>
  <c r="S34" i="17"/>
  <c r="S33" i="17"/>
  <c r="S26" i="17"/>
  <c r="G26" i="17"/>
  <c r="H26" i="17" s="1"/>
  <c r="I26" i="17" s="1"/>
  <c r="S25" i="17"/>
  <c r="Q120" i="17"/>
  <c r="S112" i="17"/>
  <c r="S110" i="17"/>
  <c r="Q105" i="17"/>
  <c r="Q103" i="17"/>
  <c r="S95" i="17"/>
  <c r="Q93" i="17"/>
  <c r="Q92" i="17"/>
  <c r="Q89" i="17"/>
  <c r="S88" i="17"/>
  <c r="Q87" i="17"/>
  <c r="Q85" i="17"/>
  <c r="S84" i="17"/>
  <c r="Q83" i="17"/>
  <c r="S80" i="17"/>
  <c r="S73" i="17"/>
  <c r="S72" i="17"/>
  <c r="Q71" i="17"/>
  <c r="Q69" i="17"/>
  <c r="S68" i="17"/>
  <c r="S64" i="17"/>
  <c r="S63" i="17"/>
  <c r="Q62" i="17"/>
  <c r="S61" i="17"/>
  <c r="Q61" i="17"/>
  <c r="Q60" i="17"/>
  <c r="Q59" i="17"/>
  <c r="Q58" i="17"/>
  <c r="S57" i="17"/>
  <c r="Q57" i="17"/>
  <c r="S56" i="17"/>
  <c r="S55" i="17"/>
  <c r="S54" i="17"/>
  <c r="Q54" i="17"/>
  <c r="S53" i="17"/>
  <c r="Q53" i="17"/>
  <c r="S52" i="17"/>
  <c r="Q51" i="17"/>
  <c r="Q50" i="17"/>
  <c r="Q49" i="17"/>
  <c r="Q46" i="17"/>
  <c r="Q43" i="17"/>
  <c r="Q42" i="17"/>
  <c r="S41" i="17"/>
  <c r="Q41" i="17"/>
  <c r="Q40" i="17"/>
  <c r="Q38" i="17"/>
  <c r="S37" i="17"/>
  <c r="Q36" i="17"/>
  <c r="Q34" i="17"/>
  <c r="G31" i="17"/>
  <c r="S115" i="17"/>
  <c r="Q115" i="17"/>
  <c r="Q114" i="17"/>
  <c r="Q109" i="17"/>
  <c r="S107" i="17"/>
  <c r="S105" i="17"/>
  <c r="S104" i="17"/>
  <c r="S102" i="17"/>
  <c r="S100" i="17"/>
  <c r="S97" i="17"/>
  <c r="Q96" i="17"/>
  <c r="Q95" i="17"/>
  <c r="S94" i="17"/>
  <c r="S93" i="17"/>
  <c r="S92" i="17"/>
  <c r="Q90" i="17"/>
  <c r="S89" i="17"/>
  <c r="Q88" i="17"/>
  <c r="S85" i="17"/>
  <c r="Q84" i="17"/>
  <c r="S83" i="17"/>
  <c r="S81" i="17"/>
  <c r="S77" i="17"/>
  <c r="Q75" i="17"/>
  <c r="S74" i="17"/>
  <c r="Q72" i="17"/>
  <c r="Q67" i="17"/>
  <c r="G30" i="17"/>
  <c r="S120" i="17"/>
  <c r="S114" i="17"/>
  <c r="Q112" i="17"/>
  <c r="S111" i="17"/>
  <c r="Q110" i="17"/>
  <c r="S109" i="17"/>
  <c r="S108" i="17"/>
  <c r="Q107" i="17"/>
  <c r="S106" i="17"/>
  <c r="S103" i="17"/>
  <c r="Q101" i="17"/>
  <c r="Q100" i="17"/>
  <c r="S99" i="17"/>
  <c r="Q99" i="17"/>
  <c r="Q98" i="17"/>
  <c r="Q91" i="17"/>
  <c r="S87" i="17"/>
  <c r="Q86" i="17"/>
  <c r="Q82" i="17"/>
  <c r="S75" i="17"/>
  <c r="Q74" i="17"/>
  <c r="S70" i="17"/>
  <c r="Q68" i="17"/>
  <c r="S67" i="17"/>
  <c r="S29" i="17"/>
  <c r="G29" i="17"/>
  <c r="S28" i="17"/>
  <c r="S27" i="17"/>
  <c r="G27" i="17"/>
  <c r="H27" i="17" s="1"/>
  <c r="I27" i="17" s="1"/>
  <c r="I16" i="17"/>
  <c r="I17" i="17" s="1"/>
  <c r="I9" i="17"/>
  <c r="I10" i="17" s="1"/>
  <c r="D28" i="16"/>
  <c r="E28" i="16" s="1"/>
  <c r="F28" i="16" s="1"/>
  <c r="G28" i="16" s="1"/>
  <c r="E29" i="16"/>
  <c r="D30" i="16"/>
  <c r="E30" i="16" s="1"/>
  <c r="D26" i="16"/>
  <c r="E26" i="16" s="1"/>
  <c r="F26" i="16" s="1"/>
  <c r="G26" i="16" s="1"/>
  <c r="D27" i="16"/>
  <c r="E27" i="16" s="1"/>
  <c r="F27" i="16" s="1"/>
  <c r="G27" i="16" s="1"/>
  <c r="S120" i="16"/>
  <c r="S113" i="16"/>
  <c r="S110" i="16"/>
  <c r="S82" i="16"/>
  <c r="S71" i="16"/>
  <c r="S66" i="16"/>
  <c r="S81" i="16"/>
  <c r="S80" i="16"/>
  <c r="S79" i="16"/>
  <c r="S78" i="16"/>
  <c r="S77" i="16"/>
  <c r="S76" i="16"/>
  <c r="S75" i="16"/>
  <c r="S74" i="16"/>
  <c r="S73" i="16"/>
  <c r="S70" i="16"/>
  <c r="S58" i="16"/>
  <c r="S56" i="16"/>
  <c r="S55" i="16"/>
  <c r="S30" i="16"/>
  <c r="S27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26" i="16"/>
  <c r="S50" i="16"/>
  <c r="S47" i="16"/>
  <c r="I9" i="16"/>
  <c r="I10" i="16" s="1"/>
  <c r="S116" i="16"/>
  <c r="S111" i="16"/>
  <c r="S109" i="16"/>
  <c r="S105" i="16"/>
  <c r="S100" i="16"/>
  <c r="S99" i="16"/>
  <c r="S97" i="16"/>
  <c r="S96" i="16"/>
  <c r="S94" i="16"/>
  <c r="S93" i="16"/>
  <c r="S89" i="16"/>
  <c r="S88" i="16"/>
  <c r="S86" i="16"/>
  <c r="S84" i="16"/>
  <c r="S69" i="16"/>
  <c r="S67" i="16"/>
  <c r="S64" i="16"/>
  <c r="S59" i="16"/>
  <c r="S53" i="16"/>
  <c r="S49" i="16"/>
  <c r="S45" i="16"/>
  <c r="S28" i="16"/>
  <c r="S25" i="16"/>
  <c r="S119" i="16"/>
  <c r="S118" i="16"/>
  <c r="S114" i="16"/>
  <c r="S108" i="16"/>
  <c r="S101" i="16"/>
  <c r="S98" i="16"/>
  <c r="S92" i="16"/>
  <c r="S51" i="16"/>
  <c r="I16" i="16"/>
  <c r="I17" i="16" s="1"/>
  <c r="S112" i="16"/>
  <c r="S104" i="16"/>
  <c r="S103" i="16"/>
  <c r="S95" i="16"/>
  <c r="S91" i="16"/>
  <c r="S90" i="16"/>
  <c r="S87" i="16"/>
  <c r="S83" i="16"/>
  <c r="S68" i="16"/>
  <c r="S60" i="16"/>
  <c r="S57" i="16"/>
  <c r="S54" i="16"/>
  <c r="S48" i="16"/>
  <c r="S44" i="16"/>
  <c r="S117" i="16"/>
  <c r="S115" i="16"/>
  <c r="S107" i="16"/>
  <c r="S106" i="16"/>
  <c r="S102" i="16"/>
  <c r="S85" i="16"/>
  <c r="S72" i="16"/>
  <c r="S65" i="16"/>
  <c r="S63" i="16"/>
  <c r="S62" i="16"/>
  <c r="S61" i="16"/>
  <c r="S52" i="16"/>
  <c r="S46" i="16"/>
  <c r="S29" i="16"/>
  <c r="S118" i="15"/>
  <c r="S114" i="15"/>
  <c r="S60" i="15"/>
  <c r="S59" i="15"/>
  <c r="S58" i="15"/>
  <c r="S57" i="15"/>
  <c r="S56" i="15"/>
  <c r="S55" i="15"/>
  <c r="S54" i="15"/>
  <c r="S53" i="15"/>
  <c r="S52" i="15"/>
  <c r="S51" i="15"/>
  <c r="S50" i="15"/>
  <c r="S49" i="15"/>
  <c r="S48" i="15"/>
  <c r="S47" i="15"/>
  <c r="S46" i="15"/>
  <c r="S45" i="15"/>
  <c r="S44" i="15"/>
  <c r="I9" i="15"/>
  <c r="I10" i="15" s="1"/>
  <c r="S120" i="15"/>
  <c r="S116" i="15"/>
  <c r="S115" i="15"/>
  <c r="S113" i="15"/>
  <c r="S112" i="15"/>
  <c r="S111" i="15"/>
  <c r="S109" i="15"/>
  <c r="S107" i="15"/>
  <c r="S106" i="15"/>
  <c r="S105" i="15"/>
  <c r="S102" i="15"/>
  <c r="S101" i="15"/>
  <c r="S100" i="15"/>
  <c r="S96" i="15"/>
  <c r="S92" i="15"/>
  <c r="S91" i="15"/>
  <c r="S90" i="15"/>
  <c r="S87" i="15"/>
  <c r="S83" i="15"/>
  <c r="S79" i="15"/>
  <c r="S76" i="15"/>
  <c r="S65" i="15"/>
  <c r="S43" i="15"/>
  <c r="S36" i="15"/>
  <c r="S33" i="15"/>
  <c r="S31" i="15"/>
  <c r="S30" i="15"/>
  <c r="S67" i="15"/>
  <c r="S62" i="15"/>
  <c r="S42" i="15"/>
  <c r="S41" i="15"/>
  <c r="S40" i="15"/>
  <c r="S39" i="15"/>
  <c r="S37" i="15"/>
  <c r="S32" i="15"/>
  <c r="S26" i="15"/>
  <c r="S25" i="15"/>
  <c r="S97" i="15"/>
  <c r="S94" i="15"/>
  <c r="S89" i="15"/>
  <c r="S85" i="15"/>
  <c r="S82" i="15"/>
  <c r="S80" i="15"/>
  <c r="S75" i="15"/>
  <c r="S72" i="15"/>
  <c r="S71" i="15"/>
  <c r="S70" i="15"/>
  <c r="S69" i="15"/>
  <c r="S66" i="15"/>
  <c r="S64" i="15"/>
  <c r="S61" i="15"/>
  <c r="S38" i="15"/>
  <c r="S34" i="15"/>
  <c r="S27" i="15"/>
  <c r="I16" i="15"/>
  <c r="I17" i="15" s="1"/>
  <c r="S119" i="15"/>
  <c r="S117" i="15"/>
  <c r="S110" i="15"/>
  <c r="S108" i="15"/>
  <c r="S104" i="15"/>
  <c r="S103" i="15"/>
  <c r="S99" i="15"/>
  <c r="S98" i="15"/>
  <c r="S95" i="15"/>
  <c r="S93" i="15"/>
  <c r="S88" i="15"/>
  <c r="S86" i="15"/>
  <c r="S84" i="15"/>
  <c r="S81" i="15"/>
  <c r="S78" i="15"/>
  <c r="S77" i="15"/>
  <c r="S74" i="15"/>
  <c r="S73" i="15"/>
  <c r="S68" i="15"/>
  <c r="S63" i="15"/>
  <c r="S35" i="15"/>
  <c r="S29" i="15"/>
  <c r="S28" i="15"/>
  <c r="S64" i="14"/>
  <c r="S103" i="14"/>
  <c r="S87" i="14"/>
  <c r="S79" i="14"/>
  <c r="S78" i="14"/>
  <c r="S76" i="14"/>
  <c r="Q67" i="14"/>
  <c r="S58" i="14"/>
  <c r="Q56" i="14"/>
  <c r="S53" i="14"/>
  <c r="Q52" i="14"/>
  <c r="Q51" i="14"/>
  <c r="Q46" i="14"/>
  <c r="Q43" i="14"/>
  <c r="S39" i="14"/>
  <c r="S36" i="14"/>
  <c r="S34" i="14"/>
  <c r="Q34" i="14"/>
  <c r="S28" i="14"/>
  <c r="S112" i="14"/>
  <c r="S111" i="14"/>
  <c r="Q111" i="14"/>
  <c r="Q109" i="14"/>
  <c r="S105" i="14"/>
  <c r="Q102" i="14"/>
  <c r="Q100" i="14"/>
  <c r="Q96" i="14"/>
  <c r="Q95" i="14"/>
  <c r="S91" i="14"/>
  <c r="Q91" i="14"/>
  <c r="S90" i="14"/>
  <c r="Q86" i="14"/>
  <c r="Q84" i="14"/>
  <c r="Q78" i="14"/>
  <c r="Q68" i="14"/>
  <c r="S62" i="14"/>
  <c r="S61" i="14"/>
  <c r="S60" i="14"/>
  <c r="Q58" i="14"/>
  <c r="Q57" i="14"/>
  <c r="S56" i="14"/>
  <c r="Q54" i="14"/>
  <c r="Q53" i="14"/>
  <c r="S51" i="14"/>
  <c r="Q48" i="14"/>
  <c r="S47" i="14"/>
  <c r="S44" i="14"/>
  <c r="Q42" i="14"/>
  <c r="Q40" i="14"/>
  <c r="Q39" i="14"/>
  <c r="S37" i="14"/>
  <c r="Q36" i="14"/>
  <c r="Q35" i="14"/>
  <c r="S27" i="14"/>
  <c r="Q120" i="14"/>
  <c r="S119" i="14"/>
  <c r="Q119" i="14"/>
  <c r="S118" i="14"/>
  <c r="Q118" i="14"/>
  <c r="S116" i="14"/>
  <c r="Q114" i="14"/>
  <c r="S113" i="14"/>
  <c r="S108" i="14"/>
  <c r="S106" i="14"/>
  <c r="Q104" i="14"/>
  <c r="Q103" i="14"/>
  <c r="S101" i="14"/>
  <c r="Q99" i="14"/>
  <c r="S98" i="14"/>
  <c r="S97" i="14"/>
  <c r="S96" i="14"/>
  <c r="Q94" i="14"/>
  <c r="Q93" i="14"/>
  <c r="Q92" i="14"/>
  <c r="S89" i="14"/>
  <c r="Q88" i="14"/>
  <c r="S86" i="14"/>
  <c r="S83" i="14"/>
  <c r="Q81" i="14"/>
  <c r="Q76" i="14"/>
  <c r="S74" i="14"/>
  <c r="Q63" i="14"/>
  <c r="Q61" i="14"/>
  <c r="S57" i="14"/>
  <c r="S55" i="14"/>
  <c r="Q49" i="14"/>
  <c r="Q47" i="14"/>
  <c r="S46" i="14"/>
  <c r="S45" i="14"/>
  <c r="Q41" i="14"/>
  <c r="Q108" i="14"/>
  <c r="S107" i="14"/>
  <c r="Q101" i="14"/>
  <c r="S100" i="14"/>
  <c r="S99" i="14"/>
  <c r="Q97" i="14"/>
  <c r="S95" i="14"/>
  <c r="S93" i="14"/>
  <c r="Q87" i="14"/>
  <c r="S84" i="14"/>
  <c r="S82" i="14"/>
  <c r="S81" i="14"/>
  <c r="Q79" i="14"/>
  <c r="Q77" i="14"/>
  <c r="S75" i="14"/>
  <c r="S73" i="14"/>
  <c r="Q72" i="14"/>
  <c r="Q71" i="14"/>
  <c r="Q70" i="14"/>
  <c r="S68" i="14"/>
  <c r="Q66" i="14"/>
  <c r="Q65" i="14"/>
  <c r="Q64" i="14"/>
  <c r="S63" i="14"/>
  <c r="S59" i="14"/>
  <c r="Q50" i="14"/>
  <c r="S43" i="14"/>
  <c r="S40" i="14"/>
  <c r="Q38" i="14"/>
  <c r="Q37" i="14"/>
  <c r="S32" i="14"/>
  <c r="S31" i="14"/>
  <c r="S30" i="14"/>
  <c r="S26" i="14"/>
  <c r="I9" i="14"/>
  <c r="I10" i="14" s="1"/>
  <c r="S117" i="14"/>
  <c r="Q117" i="14"/>
  <c r="Q112" i="14"/>
  <c r="Q110" i="14"/>
  <c r="S109" i="14"/>
  <c r="Q107" i="14"/>
  <c r="Q106" i="14"/>
  <c r="S102" i="14"/>
  <c r="Q98" i="14"/>
  <c r="S94" i="14"/>
  <c r="S92" i="14"/>
  <c r="Q90" i="14"/>
  <c r="Q89" i="14"/>
  <c r="S88" i="14"/>
  <c r="Q85" i="14"/>
  <c r="Q83" i="14"/>
  <c r="Q82" i="14"/>
  <c r="S80" i="14"/>
  <c r="Q73" i="14"/>
  <c r="S69" i="14"/>
  <c r="Q69" i="14"/>
  <c r="S67" i="14"/>
  <c r="Q55" i="14"/>
  <c r="S54" i="14"/>
  <c r="S52" i="14"/>
  <c r="S42" i="14"/>
  <c r="S41" i="14"/>
  <c r="S35" i="14"/>
  <c r="S29" i="14"/>
  <c r="S25" i="14"/>
  <c r="S120" i="14"/>
  <c r="Q116" i="14"/>
  <c r="S115" i="14"/>
  <c r="Q115" i="14"/>
  <c r="S114" i="14"/>
  <c r="Q113" i="14"/>
  <c r="S110" i="14"/>
  <c r="Q105" i="14"/>
  <c r="S104" i="14"/>
  <c r="S85" i="14"/>
  <c r="Q80" i="14"/>
  <c r="S77" i="14"/>
  <c r="Q75" i="14"/>
  <c r="Q74" i="14"/>
  <c r="S72" i="14"/>
  <c r="S71" i="14"/>
  <c r="S70" i="14"/>
  <c r="S66" i="14"/>
  <c r="S65" i="14"/>
  <c r="Q62" i="14"/>
  <c r="Q60" i="14"/>
  <c r="Q59" i="14"/>
  <c r="S50" i="14"/>
  <c r="S49" i="14"/>
  <c r="S48" i="14"/>
  <c r="Q45" i="14"/>
  <c r="Q44" i="14"/>
  <c r="S38" i="14"/>
  <c r="S33" i="14"/>
  <c r="I16" i="14"/>
  <c r="I17" i="14" s="1"/>
  <c r="E102" i="12"/>
  <c r="E110" i="12"/>
  <c r="E115" i="12"/>
  <c r="E120" i="12"/>
  <c r="E83" i="12"/>
  <c r="E89" i="12"/>
  <c r="E93" i="12"/>
  <c r="E98" i="12"/>
  <c r="E54" i="12"/>
  <c r="E63" i="12"/>
  <c r="E70" i="12"/>
  <c r="E75" i="12"/>
  <c r="E79" i="12"/>
  <c r="E36" i="12"/>
  <c r="E40" i="12"/>
  <c r="E43" i="12"/>
  <c r="E49" i="12"/>
  <c r="D39" i="12"/>
  <c r="D44" i="12"/>
  <c r="D47" i="12"/>
  <c r="D56" i="12"/>
  <c r="D59" i="12"/>
  <c r="D65" i="12"/>
  <c r="D69" i="12"/>
  <c r="D73" i="12"/>
  <c r="D75" i="12"/>
  <c r="D79" i="12"/>
  <c r="D86" i="12"/>
  <c r="D92" i="12"/>
  <c r="D99" i="12"/>
  <c r="D102" i="12"/>
  <c r="D112" i="12"/>
  <c r="D114" i="12"/>
  <c r="D118" i="12"/>
  <c r="D26" i="12"/>
  <c r="D37" i="12"/>
  <c r="E101" i="12"/>
  <c r="E107" i="12"/>
  <c r="E113" i="12"/>
  <c r="E116" i="12"/>
  <c r="E119" i="12"/>
  <c r="E84" i="12"/>
  <c r="E86" i="12"/>
  <c r="E94" i="12"/>
  <c r="E53" i="12"/>
  <c r="E62" i="12"/>
  <c r="E67" i="12"/>
  <c r="E73" i="12"/>
  <c r="E76" i="12"/>
  <c r="E35" i="12"/>
  <c r="E41" i="12"/>
  <c r="E45" i="12"/>
  <c r="E50" i="12"/>
  <c r="D40" i="12"/>
  <c r="D43" i="12"/>
  <c r="D50" i="12"/>
  <c r="D55" i="12"/>
  <c r="D58" i="12"/>
  <c r="D64" i="12"/>
  <c r="D67" i="12"/>
  <c r="D70" i="12"/>
  <c r="D72" i="12"/>
  <c r="D77" i="12"/>
  <c r="D84" i="12"/>
  <c r="D89" i="12"/>
  <c r="D94" i="12"/>
  <c r="D95" i="12"/>
  <c r="D100" i="12"/>
  <c r="D103" i="12"/>
  <c r="D109" i="12"/>
  <c r="D113" i="12"/>
  <c r="D116" i="12"/>
  <c r="D120" i="12"/>
  <c r="D31" i="12"/>
  <c r="D35" i="12"/>
  <c r="E104" i="12"/>
  <c r="E106" i="12"/>
  <c r="E112" i="12"/>
  <c r="E118" i="12"/>
  <c r="E82" i="12"/>
  <c r="E87" i="12"/>
  <c r="E92" i="12"/>
  <c r="E97" i="12"/>
  <c r="E56" i="12"/>
  <c r="E59" i="12"/>
  <c r="E64" i="12"/>
  <c r="E68" i="12"/>
  <c r="E71" i="12"/>
  <c r="E78" i="12"/>
  <c r="E32" i="12"/>
  <c r="E38" i="12"/>
  <c r="E44" i="12"/>
  <c r="E47" i="12"/>
  <c r="E52" i="12"/>
  <c r="D41" i="12"/>
  <c r="D46" i="12"/>
  <c r="D49" i="12"/>
  <c r="D53" i="12"/>
  <c r="D57" i="12"/>
  <c r="D63" i="12"/>
  <c r="D68" i="12"/>
  <c r="D71" i="12"/>
  <c r="D74" i="12"/>
  <c r="D78" i="12"/>
  <c r="D81" i="12"/>
  <c r="D85" i="12"/>
  <c r="D90" i="12"/>
  <c r="D98" i="12"/>
  <c r="D101" i="12"/>
  <c r="D106" i="12"/>
  <c r="D108" i="12"/>
  <c r="D111" i="12"/>
  <c r="D117" i="12"/>
  <c r="D27" i="12"/>
  <c r="D30" i="12"/>
  <c r="D33" i="12"/>
  <c r="D36" i="12"/>
  <c r="E100" i="12"/>
  <c r="E105" i="12"/>
  <c r="E108" i="12"/>
  <c r="E111" i="12"/>
  <c r="E80" i="12"/>
  <c r="E88" i="12"/>
  <c r="E91" i="12"/>
  <c r="E96" i="12"/>
  <c r="E55" i="12"/>
  <c r="E58" i="12"/>
  <c r="E61" i="12"/>
  <c r="E66" i="12"/>
  <c r="E69" i="12"/>
  <c r="E74" i="12"/>
  <c r="E26" i="12"/>
  <c r="F26" i="12" s="1"/>
  <c r="G26" i="12" s="1"/>
  <c r="E34" i="12"/>
  <c r="E39" i="12"/>
  <c r="E46" i="12"/>
  <c r="E48" i="12"/>
  <c r="D42" i="12"/>
  <c r="D45" i="12"/>
  <c r="D51" i="12"/>
  <c r="D54" i="12"/>
  <c r="D60" i="12"/>
  <c r="D62" i="12"/>
  <c r="D83" i="12"/>
  <c r="D87" i="12"/>
  <c r="D91" i="12"/>
  <c r="D96" i="12"/>
  <c r="D104" i="12"/>
  <c r="D107" i="12"/>
  <c r="D115" i="12"/>
  <c r="D28" i="12"/>
  <c r="D34" i="12"/>
  <c r="D25" i="12"/>
  <c r="E103" i="12"/>
  <c r="E109" i="12"/>
  <c r="E114" i="12"/>
  <c r="E117" i="12"/>
  <c r="E81" i="12"/>
  <c r="E85" i="12"/>
  <c r="E90" i="12"/>
  <c r="E95" i="12"/>
  <c r="E99" i="12"/>
  <c r="E57" i="12"/>
  <c r="E60" i="12"/>
  <c r="E65" i="12"/>
  <c r="E72" i="12"/>
  <c r="E77" i="12"/>
  <c r="E27" i="12"/>
  <c r="F27" i="12" s="1"/>
  <c r="G27" i="12" s="1"/>
  <c r="E33" i="12"/>
  <c r="E37" i="12"/>
  <c r="E42" i="12"/>
  <c r="E51" i="12"/>
  <c r="D38" i="12"/>
  <c r="D48" i="12"/>
  <c r="D52" i="12"/>
  <c r="D61" i="12"/>
  <c r="D66" i="12"/>
  <c r="D76" i="12"/>
  <c r="D80" i="12"/>
  <c r="D82" i="12"/>
  <c r="D88" i="12"/>
  <c r="D93" i="12"/>
  <c r="D97" i="12"/>
  <c r="D105" i="12"/>
  <c r="D110" i="12"/>
  <c r="D119" i="12"/>
  <c r="D29" i="12"/>
  <c r="D32" i="12"/>
  <c r="S114" i="12"/>
  <c r="R114" i="12"/>
  <c r="Q114" i="12"/>
  <c r="Q36" i="12"/>
  <c r="S67" i="12"/>
  <c r="R67" i="12"/>
  <c r="Q67" i="12"/>
  <c r="S66" i="12"/>
  <c r="R66" i="12"/>
  <c r="Q66" i="12"/>
  <c r="S65" i="12"/>
  <c r="R65" i="12"/>
  <c r="Q65" i="12"/>
  <c r="S64" i="12"/>
  <c r="R64" i="12"/>
  <c r="Q64" i="12"/>
  <c r="S63" i="12"/>
  <c r="R63" i="12"/>
  <c r="Q63" i="12"/>
  <c r="S62" i="12"/>
  <c r="R62" i="12"/>
  <c r="Q62" i="12"/>
  <c r="S61" i="12"/>
  <c r="R61" i="12"/>
  <c r="Q61" i="12"/>
  <c r="S60" i="12"/>
  <c r="R60" i="12"/>
  <c r="Q60" i="12"/>
  <c r="R36" i="12"/>
  <c r="Q35" i="12"/>
  <c r="S31" i="12"/>
  <c r="S119" i="12"/>
  <c r="R119" i="12"/>
  <c r="Q119" i="12"/>
  <c r="S115" i="12"/>
  <c r="R115" i="12"/>
  <c r="Q115" i="12"/>
  <c r="S113" i="12"/>
  <c r="R113" i="12"/>
  <c r="Q113" i="12"/>
  <c r="S112" i="12"/>
  <c r="R112" i="12"/>
  <c r="Q112" i="12"/>
  <c r="S111" i="12"/>
  <c r="R111" i="12"/>
  <c r="Q111" i="12"/>
  <c r="S110" i="12"/>
  <c r="R110" i="12"/>
  <c r="Q110" i="12"/>
  <c r="S109" i="12"/>
  <c r="R109" i="12"/>
  <c r="Q109" i="12"/>
  <c r="S108" i="12"/>
  <c r="R108" i="12"/>
  <c r="Q108" i="12"/>
  <c r="S107" i="12"/>
  <c r="R107" i="12"/>
  <c r="Q107" i="12"/>
  <c r="S106" i="12"/>
  <c r="R106" i="12"/>
  <c r="Q106" i="12"/>
  <c r="I9" i="12"/>
  <c r="I10" i="12" s="1"/>
  <c r="Q120" i="12"/>
  <c r="S104" i="12"/>
  <c r="S103" i="12"/>
  <c r="R103" i="12"/>
  <c r="S101" i="12"/>
  <c r="Q101" i="12"/>
  <c r="S100" i="12"/>
  <c r="Q100" i="12"/>
  <c r="R99" i="12"/>
  <c r="S98" i="12"/>
  <c r="R98" i="12"/>
  <c r="R97" i="12"/>
  <c r="S96" i="12"/>
  <c r="Q96" i="12"/>
  <c r="S93" i="12"/>
  <c r="Q93" i="12"/>
  <c r="Q92" i="12"/>
  <c r="S91" i="12"/>
  <c r="R91" i="12"/>
  <c r="R89" i="12"/>
  <c r="S84" i="12"/>
  <c r="R83" i="12"/>
  <c r="Q82" i="12"/>
  <c r="S81" i="12"/>
  <c r="R80" i="12"/>
  <c r="S77" i="12"/>
  <c r="Q77" i="12"/>
  <c r="S76" i="12"/>
  <c r="R76" i="12"/>
  <c r="R74" i="12"/>
  <c r="Q69" i="12"/>
  <c r="R68" i="12"/>
  <c r="S59" i="12"/>
  <c r="R59" i="12"/>
  <c r="S58" i="12"/>
  <c r="Q58" i="12"/>
  <c r="R57" i="12"/>
  <c r="S56" i="12"/>
  <c r="R55" i="12"/>
  <c r="S54" i="12"/>
  <c r="R54" i="12"/>
  <c r="S53" i="12"/>
  <c r="S52" i="12"/>
  <c r="Q52" i="12"/>
  <c r="S49" i="12"/>
  <c r="Q49" i="12"/>
  <c r="S46" i="12"/>
  <c r="R46" i="12"/>
  <c r="Q46" i="12"/>
  <c r="S44" i="12"/>
  <c r="Q44" i="12"/>
  <c r="S36" i="12"/>
  <c r="S120" i="12"/>
  <c r="S105" i="12"/>
  <c r="R105" i="12"/>
  <c r="Q105" i="12"/>
  <c r="R104" i="12"/>
  <c r="Q104" i="12"/>
  <c r="Q103" i="12"/>
  <c r="S102" i="12"/>
  <c r="R102" i="12"/>
  <c r="Q102" i="12"/>
  <c r="R101" i="12"/>
  <c r="R100" i="12"/>
  <c r="R96" i="12"/>
  <c r="S94" i="12"/>
  <c r="Q94" i="12"/>
  <c r="R92" i="12"/>
  <c r="Q90" i="12"/>
  <c r="Q89" i="12"/>
  <c r="R86" i="12"/>
  <c r="R85" i="12"/>
  <c r="Q85" i="12"/>
  <c r="R84" i="12"/>
  <c r="Q84" i="12"/>
  <c r="R82" i="12"/>
  <c r="R81" i="12"/>
  <c r="Q76" i="12"/>
  <c r="S75" i="12"/>
  <c r="Q75" i="12"/>
  <c r="S74" i="12"/>
  <c r="Q74" i="12"/>
  <c r="Q73" i="12"/>
  <c r="R72" i="12"/>
  <c r="S71" i="12"/>
  <c r="R71" i="12"/>
  <c r="Q70" i="12"/>
  <c r="S69" i="12"/>
  <c r="R69" i="12"/>
  <c r="Q68" i="12"/>
  <c r="Q59" i="12"/>
  <c r="R58" i="12"/>
  <c r="Q57" i="12"/>
  <c r="R56" i="12"/>
  <c r="Q55" i="12"/>
  <c r="Q54" i="12"/>
  <c r="Q53" i="12"/>
  <c r="R52" i="12"/>
  <c r="R51" i="12"/>
  <c r="R50" i="12"/>
  <c r="S45" i="12"/>
  <c r="Q45" i="12"/>
  <c r="S29" i="12"/>
  <c r="I16" i="12"/>
  <c r="I17" i="12" s="1"/>
  <c r="S95" i="12"/>
  <c r="Q95" i="12"/>
  <c r="S90" i="12"/>
  <c r="R90" i="12"/>
  <c r="R88" i="12"/>
  <c r="S87" i="12"/>
  <c r="Q87" i="12"/>
  <c r="S85" i="12"/>
  <c r="S83" i="12"/>
  <c r="Q83" i="12"/>
  <c r="S82" i="12"/>
  <c r="Q81" i="12"/>
  <c r="S79" i="12"/>
  <c r="Q79" i="12"/>
  <c r="Q78" i="12"/>
  <c r="R77" i="12"/>
  <c r="R75" i="12"/>
  <c r="S73" i="12"/>
  <c r="R73" i="12"/>
  <c r="S72" i="12"/>
  <c r="Q72" i="12"/>
  <c r="Q71" i="12"/>
  <c r="S70" i="12"/>
  <c r="R70" i="12"/>
  <c r="S68" i="12"/>
  <c r="S57" i="12"/>
  <c r="Q56" i="12"/>
  <c r="S55" i="12"/>
  <c r="R53" i="12"/>
  <c r="S51" i="12"/>
  <c r="Q51" i="12"/>
  <c r="S50" i="12"/>
  <c r="Q50" i="12"/>
  <c r="R49" i="12"/>
  <c r="R45" i="12"/>
  <c r="R44" i="12"/>
  <c r="S35" i="12"/>
  <c r="R35" i="12"/>
  <c r="R120" i="12"/>
  <c r="S118" i="12"/>
  <c r="R118" i="12"/>
  <c r="Q118" i="12"/>
  <c r="S117" i="12"/>
  <c r="R117" i="12"/>
  <c r="Q117" i="12"/>
  <c r="S116" i="12"/>
  <c r="R116" i="12"/>
  <c r="Q116" i="12"/>
  <c r="S99" i="12"/>
  <c r="Q99" i="12"/>
  <c r="Q98" i="12"/>
  <c r="S97" i="12"/>
  <c r="Q97" i="12"/>
  <c r="R95" i="12"/>
  <c r="R94" i="12"/>
  <c r="R93" i="12"/>
  <c r="S92" i="12"/>
  <c r="Q91" i="12"/>
  <c r="S89" i="12"/>
  <c r="S88" i="12"/>
  <c r="Q88" i="12"/>
  <c r="R87" i="12"/>
  <c r="S86" i="12"/>
  <c r="Q86" i="12"/>
  <c r="S80" i="12"/>
  <c r="Q80" i="12"/>
  <c r="R79" i="12"/>
  <c r="S78" i="12"/>
  <c r="R78" i="12"/>
  <c r="S30" i="12"/>
  <c r="G27" i="14" l="1"/>
  <c r="H27" i="14" s="1"/>
  <c r="G25" i="16"/>
  <c r="R25" i="16"/>
  <c r="R26" i="16" s="1"/>
  <c r="R27" i="16" s="1"/>
  <c r="R28" i="16" s="1"/>
  <c r="Q25" i="16"/>
  <c r="Q26" i="16" s="1"/>
  <c r="Q27" i="16" s="1"/>
  <c r="Q28" i="16" s="1"/>
  <c r="G28" i="14"/>
  <c r="H28" i="14" s="1"/>
  <c r="G26" i="14"/>
  <c r="H26" i="14" s="1"/>
  <c r="G25" i="14"/>
  <c r="R25" i="15"/>
  <c r="F25" i="15"/>
  <c r="Q25" i="15"/>
  <c r="E26" i="15"/>
  <c r="E27" i="15"/>
  <c r="F27" i="15" s="1"/>
  <c r="C18" i="15"/>
  <c r="Q25" i="17"/>
  <c r="Q26" i="17" s="1"/>
  <c r="Q27" i="17" s="1"/>
  <c r="Q28" i="17" s="1"/>
  <c r="I25" i="17"/>
  <c r="R25" i="17"/>
  <c r="R26" i="17" s="1"/>
  <c r="R27" i="17" s="1"/>
  <c r="R28" i="17" s="1"/>
  <c r="T26" i="17"/>
  <c r="T31" i="17"/>
  <c r="T41" i="17"/>
  <c r="T51" i="17"/>
  <c r="T64" i="17"/>
  <c r="T68" i="17"/>
  <c r="T74" i="17"/>
  <c r="T78" i="17"/>
  <c r="T79" i="17"/>
  <c r="T80" i="17"/>
  <c r="T83" i="17"/>
  <c r="T92" i="17"/>
  <c r="T94" i="17"/>
  <c r="T99" i="17"/>
  <c r="T105" i="17"/>
  <c r="T109" i="17"/>
  <c r="T110" i="17"/>
  <c r="T112" i="17"/>
  <c r="T115" i="17"/>
  <c r="T35" i="17"/>
  <c r="T36" i="17"/>
  <c r="T37" i="17"/>
  <c r="T38" i="17"/>
  <c r="T39" i="17"/>
  <c r="T44" i="17"/>
  <c r="T46" i="17"/>
  <c r="T48" i="17"/>
  <c r="T49" i="17"/>
  <c r="T55" i="17"/>
  <c r="T56" i="17"/>
  <c r="T57" i="17"/>
  <c r="T58" i="17"/>
  <c r="T61" i="17"/>
  <c r="T63" i="17"/>
  <c r="T65" i="17"/>
  <c r="T72" i="17"/>
  <c r="T77" i="17"/>
  <c r="T117" i="17"/>
  <c r="T119" i="17"/>
  <c r="T30" i="17"/>
  <c r="T66" i="17"/>
  <c r="T28" i="17"/>
  <c r="C16" i="17" s="1"/>
  <c r="T120" i="17"/>
  <c r="T25" i="17"/>
  <c r="T27" i="17"/>
  <c r="T29" i="17"/>
  <c r="T69" i="17"/>
  <c r="T73" i="17"/>
  <c r="T76" i="17"/>
  <c r="T81" i="17"/>
  <c r="T84" i="17"/>
  <c r="T85" i="17"/>
  <c r="T89" i="17"/>
  <c r="T90" i="17"/>
  <c r="T93" i="17"/>
  <c r="T95" i="17"/>
  <c r="T97" i="17"/>
  <c r="T101" i="17"/>
  <c r="T102" i="17"/>
  <c r="T103" i="17"/>
  <c r="T104" i="17"/>
  <c r="T118" i="17"/>
  <c r="T71" i="17"/>
  <c r="T86" i="17"/>
  <c r="T87" i="17"/>
  <c r="T88" i="17"/>
  <c r="T98" i="17"/>
  <c r="T113" i="17"/>
  <c r="T114" i="17"/>
  <c r="T32" i="17"/>
  <c r="T33" i="17"/>
  <c r="T34" i="17"/>
  <c r="T40" i="17"/>
  <c r="T42" i="17"/>
  <c r="T43" i="17"/>
  <c r="T45" i="17"/>
  <c r="T47" i="17"/>
  <c r="T50" i="17"/>
  <c r="T52" i="17"/>
  <c r="T53" i="17"/>
  <c r="T54" i="17"/>
  <c r="T59" i="17"/>
  <c r="T60" i="17"/>
  <c r="T62" i="17"/>
  <c r="T67" i="17"/>
  <c r="T70" i="17"/>
  <c r="T75" i="17"/>
  <c r="T82" i="17"/>
  <c r="T91" i="17"/>
  <c r="T96" i="17"/>
  <c r="T100" i="17"/>
  <c r="T106" i="17"/>
  <c r="T107" i="17"/>
  <c r="T108" i="17"/>
  <c r="T111" i="17"/>
  <c r="T116" i="17"/>
  <c r="C18" i="17"/>
  <c r="C20" i="17"/>
  <c r="C18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30" i="16"/>
  <c r="T44" i="16"/>
  <c r="T52" i="16"/>
  <c r="T57" i="16"/>
  <c r="T64" i="16"/>
  <c r="T73" i="16"/>
  <c r="T74" i="16"/>
  <c r="T75" i="16"/>
  <c r="T76" i="16"/>
  <c r="T77" i="16"/>
  <c r="T78" i="16"/>
  <c r="T79" i="16"/>
  <c r="T80" i="16"/>
  <c r="T81" i="16"/>
  <c r="T27" i="16"/>
  <c r="T29" i="16"/>
  <c r="T62" i="16"/>
  <c r="T65" i="16"/>
  <c r="T109" i="16"/>
  <c r="T114" i="16"/>
  <c r="T118" i="16"/>
  <c r="T45" i="16"/>
  <c r="T47" i="16"/>
  <c r="T53" i="16"/>
  <c r="T54" i="16"/>
  <c r="T55" i="16"/>
  <c r="T58" i="16"/>
  <c r="T69" i="16"/>
  <c r="T70" i="16"/>
  <c r="T83" i="16"/>
  <c r="T86" i="16"/>
  <c r="T90" i="16"/>
  <c r="T96" i="16"/>
  <c r="T116" i="16"/>
  <c r="T25" i="16"/>
  <c r="T51" i="16"/>
  <c r="T63" i="16"/>
  <c r="T66" i="16"/>
  <c r="T71" i="16"/>
  <c r="T84" i="16"/>
  <c r="T89" i="16"/>
  <c r="T91" i="16"/>
  <c r="T93" i="16"/>
  <c r="T94" i="16"/>
  <c r="T97" i="16"/>
  <c r="T98" i="16"/>
  <c r="T99" i="16"/>
  <c r="T101" i="16"/>
  <c r="T106" i="16"/>
  <c r="T111" i="16"/>
  <c r="T120" i="16"/>
  <c r="T26" i="16"/>
  <c r="T28" i="16"/>
  <c r="C16" i="16" s="1"/>
  <c r="T48" i="16"/>
  <c r="T49" i="16"/>
  <c r="T50" i="16"/>
  <c r="T59" i="16"/>
  <c r="T61" i="16"/>
  <c r="T67" i="16"/>
  <c r="T72" i="16"/>
  <c r="T82" i="16"/>
  <c r="T85" i="16"/>
  <c r="T87" i="16"/>
  <c r="T88" i="16"/>
  <c r="T100" i="16"/>
  <c r="T102" i="16"/>
  <c r="T104" i="16"/>
  <c r="T105" i="16"/>
  <c r="T113" i="16"/>
  <c r="T117" i="16"/>
  <c r="T56" i="16"/>
  <c r="T60" i="16"/>
  <c r="T68" i="16"/>
  <c r="T92" i="16"/>
  <c r="T95" i="16"/>
  <c r="T103" i="16"/>
  <c r="T107" i="16"/>
  <c r="T108" i="16"/>
  <c r="T110" i="16"/>
  <c r="T112" i="16"/>
  <c r="T115" i="16"/>
  <c r="T46" i="16"/>
  <c r="T119" i="16"/>
  <c r="C20" i="16"/>
  <c r="T27" i="15"/>
  <c r="T28" i="15"/>
  <c r="C16" i="15" s="1"/>
  <c r="T31" i="15"/>
  <c r="T36" i="15"/>
  <c r="T38" i="15"/>
  <c r="T68" i="15"/>
  <c r="T71" i="15"/>
  <c r="T30" i="15"/>
  <c r="T26" i="15"/>
  <c r="T29" i="15"/>
  <c r="T37" i="15"/>
  <c r="T40" i="15"/>
  <c r="T42" i="15"/>
  <c r="T61" i="15"/>
  <c r="T63" i="15"/>
  <c r="T64" i="15"/>
  <c r="T78" i="15"/>
  <c r="T82" i="15"/>
  <c r="T84" i="15"/>
  <c r="T93" i="15"/>
  <c r="T95" i="15"/>
  <c r="T97" i="15"/>
  <c r="T98" i="15"/>
  <c r="T103" i="15"/>
  <c r="T108" i="15"/>
  <c r="T110" i="15"/>
  <c r="T114" i="15"/>
  <c r="T119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117" i="15"/>
  <c r="T120" i="15"/>
  <c r="T32" i="15"/>
  <c r="T34" i="15"/>
  <c r="T39" i="15"/>
  <c r="T41" i="15"/>
  <c r="T65" i="15"/>
  <c r="T66" i="15"/>
  <c r="T69" i="15"/>
  <c r="T70" i="15"/>
  <c r="T72" i="15"/>
  <c r="T75" i="15"/>
  <c r="T81" i="15"/>
  <c r="T83" i="15"/>
  <c r="T85" i="15"/>
  <c r="T86" i="15"/>
  <c r="T89" i="15"/>
  <c r="T90" i="15"/>
  <c r="T92" i="15"/>
  <c r="T94" i="15"/>
  <c r="T96" i="15"/>
  <c r="T99" i="15"/>
  <c r="T101" i="15"/>
  <c r="T104" i="15"/>
  <c r="T105" i="15"/>
  <c r="T106" i="15"/>
  <c r="T107" i="15"/>
  <c r="T109" i="15"/>
  <c r="T111" i="15"/>
  <c r="T112" i="15"/>
  <c r="T113" i="15"/>
  <c r="T115" i="15"/>
  <c r="T116" i="15"/>
  <c r="T118" i="15"/>
  <c r="T33" i="15"/>
  <c r="T35" i="15"/>
  <c r="T43" i="15"/>
  <c r="T62" i="15"/>
  <c r="T67" i="15"/>
  <c r="T73" i="15"/>
  <c r="T74" i="15"/>
  <c r="T76" i="15"/>
  <c r="T77" i="15"/>
  <c r="T79" i="15"/>
  <c r="T80" i="15"/>
  <c r="T87" i="15"/>
  <c r="T88" i="15"/>
  <c r="T91" i="15"/>
  <c r="T100" i="15"/>
  <c r="T102" i="15"/>
  <c r="T25" i="15"/>
  <c r="C20" i="15"/>
  <c r="C18" i="14"/>
  <c r="T42" i="14"/>
  <c r="T47" i="14"/>
  <c r="T49" i="14"/>
  <c r="T60" i="14"/>
  <c r="T61" i="14"/>
  <c r="T62" i="14"/>
  <c r="T65" i="14"/>
  <c r="T74" i="14"/>
  <c r="T86" i="14"/>
  <c r="T91" i="14"/>
  <c r="T98" i="14"/>
  <c r="T113" i="14"/>
  <c r="T119" i="14"/>
  <c r="T25" i="14"/>
  <c r="T29" i="14"/>
  <c r="T34" i="14"/>
  <c r="T37" i="14"/>
  <c r="T54" i="14"/>
  <c r="T58" i="14"/>
  <c r="T84" i="14"/>
  <c r="T87" i="14"/>
  <c r="T92" i="14"/>
  <c r="T95" i="14"/>
  <c r="T100" i="14"/>
  <c r="T103" i="14"/>
  <c r="T115" i="14"/>
  <c r="T117" i="14"/>
  <c r="T26" i="14"/>
  <c r="T28" i="14"/>
  <c r="C16" i="14" s="1"/>
  <c r="T39" i="14"/>
  <c r="T40" i="14"/>
  <c r="T43" i="14"/>
  <c r="T52" i="14"/>
  <c r="T59" i="14"/>
  <c r="T66" i="14"/>
  <c r="T67" i="14"/>
  <c r="T70" i="14"/>
  <c r="T79" i="14"/>
  <c r="T94" i="14"/>
  <c r="T99" i="14"/>
  <c r="T101" i="14"/>
  <c r="T104" i="14"/>
  <c r="T106" i="14"/>
  <c r="T107" i="14"/>
  <c r="T108" i="14"/>
  <c r="T110" i="14"/>
  <c r="T114" i="14"/>
  <c r="T30" i="14"/>
  <c r="T38" i="14"/>
  <c r="T41" i="14"/>
  <c r="T45" i="14"/>
  <c r="T48" i="14"/>
  <c r="T51" i="14"/>
  <c r="T55" i="14"/>
  <c r="T56" i="14"/>
  <c r="T64" i="14"/>
  <c r="T72" i="14"/>
  <c r="T77" i="14"/>
  <c r="T80" i="14"/>
  <c r="T82" i="14"/>
  <c r="T85" i="14"/>
  <c r="T88" i="14"/>
  <c r="T93" i="14"/>
  <c r="T102" i="14"/>
  <c r="T105" i="14"/>
  <c r="T120" i="14"/>
  <c r="T32" i="14"/>
  <c r="T35" i="14"/>
  <c r="T36" i="14"/>
  <c r="T63" i="14"/>
  <c r="T68" i="14"/>
  <c r="T69" i="14"/>
  <c r="T73" i="14"/>
  <c r="T81" i="14"/>
  <c r="T83" i="14"/>
  <c r="T109" i="14"/>
  <c r="T118" i="14"/>
  <c r="T27" i="14"/>
  <c r="T31" i="14"/>
  <c r="T33" i="14"/>
  <c r="T44" i="14"/>
  <c r="T46" i="14"/>
  <c r="T50" i="14"/>
  <c r="T53" i="14"/>
  <c r="T57" i="14"/>
  <c r="T71" i="14"/>
  <c r="T75" i="14"/>
  <c r="T76" i="14"/>
  <c r="T78" i="14"/>
  <c r="T89" i="14"/>
  <c r="T90" i="14"/>
  <c r="T96" i="14"/>
  <c r="T97" i="14"/>
  <c r="T111" i="14"/>
  <c r="T112" i="14"/>
  <c r="T116" i="14"/>
  <c r="C20" i="14"/>
  <c r="E31" i="12"/>
  <c r="E25" i="12"/>
  <c r="F25" i="12" s="1"/>
  <c r="E30" i="12"/>
  <c r="E28" i="12"/>
  <c r="F28" i="12" s="1"/>
  <c r="G28" i="12" s="1"/>
  <c r="E29" i="12"/>
  <c r="R47" i="12"/>
  <c r="R48" i="12" s="1"/>
  <c r="Q47" i="12"/>
  <c r="Q48" i="12" s="1"/>
  <c r="C18" i="12"/>
  <c r="C20" i="12"/>
  <c r="F26" i="15" l="1"/>
  <c r="R26" i="15"/>
  <c r="R27" i="15" s="1"/>
  <c r="R28" i="15" s="1"/>
  <c r="G25" i="12"/>
  <c r="R25" i="12"/>
  <c r="R26" i="12" s="1"/>
  <c r="R27" i="12" s="1"/>
  <c r="R28" i="12" s="1"/>
  <c r="H25" i="14"/>
  <c r="R25" i="14"/>
  <c r="R26" i="14" s="1"/>
  <c r="R27" i="14" s="1"/>
  <c r="R28" i="14" s="1"/>
  <c r="Q26" i="15"/>
  <c r="Q27" i="15" s="1"/>
  <c r="Q28" i="15" s="1"/>
  <c r="I14" i="17"/>
  <c r="I12" i="17"/>
  <c r="I13" i="17" s="1"/>
  <c r="C19" i="17" s="1"/>
  <c r="I7" i="17"/>
  <c r="I5" i="17"/>
  <c r="I6" i="17" s="1"/>
  <c r="Q25" i="14"/>
  <c r="Q26" i="14" s="1"/>
  <c r="Q27" i="14" s="1"/>
  <c r="Q28" i="14" s="1"/>
  <c r="Q37" i="12"/>
  <c r="Q38" i="12" s="1"/>
  <c r="Q39" i="12" s="1"/>
  <c r="Q40" i="12" s="1"/>
  <c r="Q41" i="12" s="1"/>
  <c r="Q42" i="12" s="1"/>
  <c r="Q43" i="12" s="1"/>
  <c r="Q34" i="12"/>
  <c r="R37" i="12"/>
  <c r="R38" i="12" s="1"/>
  <c r="R39" i="12" s="1"/>
  <c r="R40" i="12" s="1"/>
  <c r="R41" i="12" s="1"/>
  <c r="R42" i="12" s="1"/>
  <c r="R43" i="12" s="1"/>
  <c r="R34" i="12"/>
  <c r="I5" i="12"/>
  <c r="Q25" i="12"/>
  <c r="Q26" i="12" s="1"/>
  <c r="Q27" i="12" s="1"/>
  <c r="Q28" i="12" s="1"/>
  <c r="I15" i="17" l="1"/>
  <c r="I8" i="17"/>
  <c r="I2" i="17"/>
  <c r="I3" i="17" s="1"/>
  <c r="C17" i="17"/>
  <c r="I7" i="14"/>
  <c r="I5" i="14"/>
  <c r="I6" i="14" s="1"/>
  <c r="I14" i="14"/>
  <c r="I12" i="14"/>
  <c r="I13" i="14" s="1"/>
  <c r="C19" i="14" s="1"/>
  <c r="I7" i="12"/>
  <c r="I6" i="12"/>
  <c r="I14" i="12"/>
  <c r="I12" i="12"/>
  <c r="I13" i="12" s="1"/>
  <c r="C19" i="12" s="1"/>
  <c r="N113" i="17" l="1"/>
  <c r="M106" i="17"/>
  <c r="M99" i="17"/>
  <c r="N96" i="17"/>
  <c r="M96" i="17"/>
  <c r="M95" i="17"/>
  <c r="M94" i="17"/>
  <c r="N93" i="17"/>
  <c r="N90" i="17"/>
  <c r="N89" i="17"/>
  <c r="N88" i="17"/>
  <c r="N84" i="17"/>
  <c r="N81" i="17"/>
  <c r="N80" i="17"/>
  <c r="M78" i="17"/>
  <c r="M76" i="17"/>
  <c r="N73" i="17"/>
  <c r="M73" i="17"/>
  <c r="M72" i="17"/>
  <c r="N69" i="17"/>
  <c r="N29" i="17"/>
  <c r="M29" i="17"/>
  <c r="N28" i="17"/>
  <c r="N27" i="17"/>
  <c r="M27" i="17"/>
  <c r="N25" i="17"/>
  <c r="M28" i="17"/>
  <c r="N30" i="17"/>
  <c r="M30" i="17"/>
  <c r="M120" i="17"/>
  <c r="N118" i="17"/>
  <c r="N114" i="17"/>
  <c r="N75" i="17"/>
  <c r="M74" i="17"/>
  <c r="M68" i="17"/>
  <c r="N64" i="17"/>
  <c r="M64" i="17"/>
  <c r="M62" i="17"/>
  <c r="N60" i="17"/>
  <c r="M60" i="17"/>
  <c r="N59" i="17"/>
  <c r="M59" i="17"/>
  <c r="N58" i="17"/>
  <c r="N57" i="17"/>
  <c r="M51" i="17"/>
  <c r="N50" i="17"/>
  <c r="N49" i="17"/>
  <c r="N46" i="17"/>
  <c r="N43" i="17"/>
  <c r="N42" i="17"/>
  <c r="M41" i="17"/>
  <c r="M40" i="17"/>
  <c r="M38" i="17"/>
  <c r="M37" i="17"/>
  <c r="N34" i="17"/>
  <c r="M34" i="17"/>
  <c r="M32" i="17"/>
  <c r="N120" i="17"/>
  <c r="N119" i="17"/>
  <c r="M118" i="17"/>
  <c r="N117" i="17"/>
  <c r="M117" i="17"/>
  <c r="N116" i="17"/>
  <c r="M116" i="17"/>
  <c r="M113" i="17"/>
  <c r="N112" i="17"/>
  <c r="M112" i="17"/>
  <c r="N110" i="17"/>
  <c r="N109" i="17"/>
  <c r="M109" i="17"/>
  <c r="N105" i="17"/>
  <c r="M105" i="17"/>
  <c r="N104" i="17"/>
  <c r="M103" i="17"/>
  <c r="M102" i="17"/>
  <c r="N100" i="17"/>
  <c r="N98" i="17"/>
  <c r="N95" i="17"/>
  <c r="N92" i="17"/>
  <c r="M89" i="17"/>
  <c r="M88" i="17"/>
  <c r="M87" i="17"/>
  <c r="N85" i="17"/>
  <c r="M84" i="17"/>
  <c r="M83" i="17"/>
  <c r="M82" i="17"/>
  <c r="N74" i="17"/>
  <c r="N72" i="17"/>
  <c r="N71" i="17"/>
  <c r="N67" i="17"/>
  <c r="M66" i="17"/>
  <c r="M65" i="17"/>
  <c r="N63" i="17"/>
  <c r="M52" i="17"/>
  <c r="M48" i="17"/>
  <c r="M47" i="17"/>
  <c r="M46" i="17"/>
  <c r="M43" i="17"/>
  <c r="N40" i="17"/>
  <c r="N38" i="17"/>
  <c r="N36" i="17"/>
  <c r="N35" i="17"/>
  <c r="M33" i="17"/>
  <c r="N26" i="17"/>
  <c r="M26" i="17"/>
  <c r="M25" i="17"/>
  <c r="N111" i="17"/>
  <c r="M110" i="17"/>
  <c r="N108" i="17"/>
  <c r="N107" i="17"/>
  <c r="N106" i="17"/>
  <c r="N102" i="17"/>
  <c r="M101" i="17"/>
  <c r="M100" i="17"/>
  <c r="M98" i="17"/>
  <c r="N97" i="17"/>
  <c r="M97" i="17"/>
  <c r="N94" i="17"/>
  <c r="N91" i="17"/>
  <c r="M90" i="17"/>
  <c r="N86" i="17"/>
  <c r="M85" i="17"/>
  <c r="N83" i="17"/>
  <c r="M81" i="17"/>
  <c r="N79" i="17"/>
  <c r="N77" i="17"/>
  <c r="M77" i="17"/>
  <c r="M75" i="17"/>
  <c r="M71" i="17"/>
  <c r="N70" i="17"/>
  <c r="M67" i="17"/>
  <c r="N66" i="17"/>
  <c r="N65" i="17"/>
  <c r="M63" i="17"/>
  <c r="N62" i="17"/>
  <c r="N61" i="17"/>
  <c r="M61" i="17"/>
  <c r="M58" i="17"/>
  <c r="M57" i="17"/>
  <c r="N56" i="17"/>
  <c r="M56" i="17"/>
  <c r="N55" i="17"/>
  <c r="M55" i="17"/>
  <c r="N54" i="17"/>
  <c r="M54" i="17"/>
  <c r="N53" i="17"/>
  <c r="M53" i="17"/>
  <c r="N52" i="17"/>
  <c r="N51" i="17"/>
  <c r="M50" i="17"/>
  <c r="M49" i="17"/>
  <c r="N48" i="17"/>
  <c r="N47" i="17"/>
  <c r="N45" i="17"/>
  <c r="M45" i="17"/>
  <c r="N44" i="17"/>
  <c r="M44" i="17"/>
  <c r="M42" i="17"/>
  <c r="N41" i="17"/>
  <c r="N39" i="17"/>
  <c r="M39" i="17"/>
  <c r="N37" i="17"/>
  <c r="M36" i="17"/>
  <c r="M35" i="17"/>
  <c r="N33" i="17"/>
  <c r="N32" i="17"/>
  <c r="N31" i="17"/>
  <c r="M31" i="17"/>
  <c r="M119" i="17"/>
  <c r="N115" i="17"/>
  <c r="M115" i="17"/>
  <c r="M114" i="17"/>
  <c r="M111" i="17"/>
  <c r="M108" i="17"/>
  <c r="M107" i="17"/>
  <c r="M104" i="17"/>
  <c r="N103" i="17"/>
  <c r="N101" i="17"/>
  <c r="N99" i="17"/>
  <c r="M93" i="17"/>
  <c r="M92" i="17"/>
  <c r="M91" i="17"/>
  <c r="N87" i="17"/>
  <c r="M86" i="17"/>
  <c r="N82" i="17"/>
  <c r="M80" i="17"/>
  <c r="M79" i="17"/>
  <c r="N78" i="17"/>
  <c r="N76" i="17"/>
  <c r="M70" i="17"/>
  <c r="M69" i="17"/>
  <c r="N68" i="17"/>
  <c r="I15" i="14"/>
  <c r="I2" i="14"/>
  <c r="I3" i="14" s="1"/>
  <c r="C17" i="14"/>
  <c r="I8" i="14"/>
  <c r="I8" i="12"/>
  <c r="I2" i="12"/>
  <c r="I3" i="12" s="1"/>
  <c r="C17" i="12"/>
  <c r="I15" i="12"/>
  <c r="N75" i="14" l="1"/>
  <c r="N76" i="14"/>
  <c r="N91" i="14"/>
  <c r="M96" i="14"/>
  <c r="N110" i="14"/>
  <c r="M108" i="14"/>
  <c r="N107" i="14"/>
  <c r="N87" i="14"/>
  <c r="N81" i="14"/>
  <c r="N72" i="14"/>
  <c r="M70" i="14"/>
  <c r="M69" i="14"/>
  <c r="N68" i="14"/>
  <c r="M55" i="14"/>
  <c r="N54" i="14"/>
  <c r="M53" i="14"/>
  <c r="M51" i="14"/>
  <c r="M50" i="14"/>
  <c r="N43" i="14"/>
  <c r="N42" i="14"/>
  <c r="M38" i="14"/>
  <c r="M37" i="14"/>
  <c r="N35" i="14"/>
  <c r="M32" i="14"/>
  <c r="N27" i="14"/>
  <c r="M27" i="14"/>
  <c r="N26" i="14"/>
  <c r="N25" i="14"/>
  <c r="N106" i="14"/>
  <c r="M102" i="14"/>
  <c r="M99" i="14"/>
  <c r="N97" i="14"/>
  <c r="N96" i="14"/>
  <c r="N93" i="14"/>
  <c r="N92" i="14"/>
  <c r="M91" i="14"/>
  <c r="N90" i="14"/>
  <c r="N89" i="14"/>
  <c r="M86" i="14"/>
  <c r="N84" i="14"/>
  <c r="N83" i="14"/>
  <c r="M83" i="14"/>
  <c r="M82" i="14"/>
  <c r="M81" i="14"/>
  <c r="M80" i="14"/>
  <c r="M78" i="14"/>
  <c r="M77" i="14"/>
  <c r="N73" i="14"/>
  <c r="N69" i="14"/>
  <c r="M65" i="14"/>
  <c r="M64" i="14"/>
  <c r="M63" i="14"/>
  <c r="N59" i="14"/>
  <c r="M59" i="14"/>
  <c r="N58" i="14"/>
  <c r="N57" i="14"/>
  <c r="M49" i="14"/>
  <c r="M48" i="14"/>
  <c r="N41" i="14"/>
  <c r="N40" i="14"/>
  <c r="M39" i="14"/>
  <c r="M36" i="14"/>
  <c r="M33" i="14"/>
  <c r="N32" i="14"/>
  <c r="N28" i="14"/>
  <c r="N120" i="14"/>
  <c r="N117" i="14"/>
  <c r="M112" i="14"/>
  <c r="N108" i="14"/>
  <c r="M107" i="14"/>
  <c r="M106" i="14"/>
  <c r="N104" i="14"/>
  <c r="M101" i="14"/>
  <c r="N99" i="14"/>
  <c r="M98" i="14"/>
  <c r="N88" i="14"/>
  <c r="N85" i="14"/>
  <c r="M85" i="14"/>
  <c r="N80" i="14"/>
  <c r="M79" i="14"/>
  <c r="N77" i="14"/>
  <c r="M76" i="14"/>
  <c r="M74" i="14"/>
  <c r="M73" i="14"/>
  <c r="M72" i="14"/>
  <c r="N71" i="14"/>
  <c r="M67" i="14"/>
  <c r="N66" i="14"/>
  <c r="N62" i="14"/>
  <c r="M61" i="14"/>
  <c r="N60" i="14"/>
  <c r="N56" i="14"/>
  <c r="M56" i="14"/>
  <c r="N55" i="14"/>
  <c r="M52" i="14"/>
  <c r="N50" i="14"/>
  <c r="N45" i="14"/>
  <c r="M45" i="14"/>
  <c r="N44" i="14"/>
  <c r="N38" i="14"/>
  <c r="M28" i="14"/>
  <c r="N119" i="14"/>
  <c r="M119" i="14"/>
  <c r="N118" i="14"/>
  <c r="M118" i="14"/>
  <c r="N116" i="14"/>
  <c r="M116" i="14"/>
  <c r="N115" i="14"/>
  <c r="M115" i="14"/>
  <c r="N114" i="14"/>
  <c r="N113" i="14"/>
  <c r="N111" i="14"/>
  <c r="M110" i="14"/>
  <c r="M109" i="14"/>
  <c r="N102" i="14"/>
  <c r="N101" i="14"/>
  <c r="N100" i="14"/>
  <c r="M100" i="14"/>
  <c r="N98" i="14"/>
  <c r="M90" i="14"/>
  <c r="M87" i="14"/>
  <c r="M84" i="14"/>
  <c r="N78" i="14"/>
  <c r="M66" i="14"/>
  <c r="N65" i="14"/>
  <c r="N64" i="14"/>
  <c r="M60" i="14"/>
  <c r="M40" i="14"/>
  <c r="M35" i="14"/>
  <c r="N34" i="14"/>
  <c r="M30" i="14"/>
  <c r="N29" i="14"/>
  <c r="M120" i="14"/>
  <c r="N112" i="14"/>
  <c r="M111" i="14"/>
  <c r="M105" i="14"/>
  <c r="N103" i="14"/>
  <c r="M103" i="14"/>
  <c r="M95" i="14"/>
  <c r="N94" i="14"/>
  <c r="M94" i="14"/>
  <c r="M92" i="14"/>
  <c r="M89" i="14"/>
  <c r="M88" i="14"/>
  <c r="N86" i="14"/>
  <c r="N82" i="14"/>
  <c r="M75" i="14"/>
  <c r="N74" i="14"/>
  <c r="N67" i="14"/>
  <c r="N63" i="14"/>
  <c r="M62" i="14"/>
  <c r="N61" i="14"/>
  <c r="N52" i="14"/>
  <c r="N51" i="14"/>
  <c r="N49" i="14"/>
  <c r="N47" i="14"/>
  <c r="N46" i="14"/>
  <c r="M44" i="14"/>
  <c r="M43" i="14"/>
  <c r="M42" i="14"/>
  <c r="M41" i="14"/>
  <c r="N31" i="14"/>
  <c r="N30" i="14"/>
  <c r="M26" i="14"/>
  <c r="M25" i="14"/>
  <c r="M68" i="14"/>
  <c r="M71" i="14"/>
  <c r="N79" i="14"/>
  <c r="N70" i="14"/>
  <c r="M97" i="14"/>
  <c r="M104" i="14"/>
  <c r="M113" i="14"/>
  <c r="M114" i="14"/>
  <c r="M58" i="14"/>
  <c r="M93" i="14"/>
  <c r="N95" i="14"/>
  <c r="N109" i="14"/>
  <c r="M29" i="14"/>
  <c r="M31" i="14"/>
  <c r="N33" i="14"/>
  <c r="M34" i="14"/>
  <c r="N36" i="14"/>
  <c r="N37" i="14"/>
  <c r="N39" i="14"/>
  <c r="M46" i="14"/>
  <c r="M47" i="14"/>
  <c r="N48" i="14"/>
  <c r="N53" i="14"/>
  <c r="M54" i="14"/>
  <c r="M57" i="14"/>
  <c r="N105" i="14"/>
  <c r="M117" i="14"/>
  <c r="S47" i="12"/>
  <c r="S43" i="12"/>
  <c r="S48" i="12"/>
  <c r="S40" i="12"/>
  <c r="S42" i="12"/>
  <c r="S39" i="12"/>
  <c r="S38" i="12"/>
  <c r="S41" i="12"/>
  <c r="S32" i="12"/>
  <c r="S33" i="12"/>
  <c r="S34" i="12"/>
  <c r="S37" i="12"/>
  <c r="S25" i="12"/>
  <c r="S27" i="12"/>
  <c r="S28" i="12"/>
  <c r="S26" i="12"/>
  <c r="M120" i="12"/>
  <c r="N29" i="12"/>
  <c r="N114" i="12"/>
  <c r="M114" i="12"/>
  <c r="M40" i="12"/>
  <c r="M38" i="12"/>
  <c r="M37" i="12"/>
  <c r="M35" i="12"/>
  <c r="M33" i="12"/>
  <c r="N31" i="12"/>
  <c r="N30" i="12"/>
  <c r="N28" i="12"/>
  <c r="M27" i="12"/>
  <c r="M26" i="12"/>
  <c r="N25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M36" i="12"/>
  <c r="N33" i="12"/>
  <c r="M32" i="12"/>
  <c r="M28" i="12"/>
  <c r="M25" i="12"/>
  <c r="N120" i="12"/>
  <c r="N119" i="12"/>
  <c r="M119" i="12"/>
  <c r="N115" i="12"/>
  <c r="M115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M104" i="12"/>
  <c r="M103" i="12"/>
  <c r="M100" i="12"/>
  <c r="M98" i="12"/>
  <c r="M97" i="12"/>
  <c r="M95" i="12"/>
  <c r="N91" i="12"/>
  <c r="N90" i="12"/>
  <c r="M87" i="12"/>
  <c r="N85" i="12"/>
  <c r="N84" i="12"/>
  <c r="M81" i="12"/>
  <c r="M80" i="12"/>
  <c r="N79" i="12"/>
  <c r="M78" i="12"/>
  <c r="M76" i="12"/>
  <c r="N74" i="12"/>
  <c r="N73" i="12"/>
  <c r="M72" i="12"/>
  <c r="M59" i="12"/>
  <c r="N56" i="12"/>
  <c r="M55" i="12"/>
  <c r="M54" i="12"/>
  <c r="N53" i="12"/>
  <c r="M51" i="12"/>
  <c r="N50" i="12"/>
  <c r="M49" i="12"/>
  <c r="M48" i="12"/>
  <c r="N47" i="12"/>
  <c r="M46" i="12"/>
  <c r="N45" i="12"/>
  <c r="M44" i="12"/>
  <c r="N41" i="12"/>
  <c r="N40" i="12"/>
  <c r="M39" i="12"/>
  <c r="N35" i="12"/>
  <c r="N34" i="12"/>
  <c r="N27" i="12"/>
  <c r="N105" i="12"/>
  <c r="M105" i="12"/>
  <c r="N104" i="12"/>
  <c r="N103" i="12"/>
  <c r="N102" i="12"/>
  <c r="M102" i="12"/>
  <c r="N101" i="12"/>
  <c r="M101" i="12"/>
  <c r="N100" i="12"/>
  <c r="M99" i="12"/>
  <c r="N98" i="12"/>
  <c r="N97" i="12"/>
  <c r="N96" i="12"/>
  <c r="N95" i="12"/>
  <c r="N94" i="12"/>
  <c r="N93" i="12"/>
  <c r="M92" i="12"/>
  <c r="N86" i="12"/>
  <c r="M84" i="12"/>
  <c r="N83" i="12"/>
  <c r="N81" i="12"/>
  <c r="M77" i="12"/>
  <c r="M75" i="12"/>
  <c r="N72" i="12"/>
  <c r="N71" i="12"/>
  <c r="N70" i="12"/>
  <c r="N69" i="12"/>
  <c r="M69" i="12"/>
  <c r="M58" i="12"/>
  <c r="M57" i="12"/>
  <c r="M56" i="12"/>
  <c r="N52" i="12"/>
  <c r="N51" i="12"/>
  <c r="M50" i="12"/>
  <c r="N49" i="12"/>
  <c r="N48" i="12"/>
  <c r="M47" i="12"/>
  <c r="M45" i="12"/>
  <c r="M43" i="12"/>
  <c r="N42" i="12"/>
  <c r="M29" i="12"/>
  <c r="N26" i="12"/>
  <c r="M117" i="12"/>
  <c r="N99" i="12"/>
  <c r="M91" i="12"/>
  <c r="M89" i="12"/>
  <c r="N88" i="12"/>
  <c r="M86" i="12"/>
  <c r="M83" i="12"/>
  <c r="M82" i="12"/>
  <c r="N80" i="12"/>
  <c r="M79" i="12"/>
  <c r="N78" i="12"/>
  <c r="N77" i="12"/>
  <c r="N76" i="12"/>
  <c r="N75" i="12"/>
  <c r="M74" i="12"/>
  <c r="M73" i="12"/>
  <c r="M71" i="12"/>
  <c r="M70" i="12"/>
  <c r="N59" i="12"/>
  <c r="N58" i="12"/>
  <c r="N57" i="12"/>
  <c r="N55" i="12"/>
  <c r="N54" i="12"/>
  <c r="M53" i="12"/>
  <c r="M52" i="12"/>
  <c r="N46" i="12"/>
  <c r="N44" i="12"/>
  <c r="N43" i="12"/>
  <c r="M42" i="12"/>
  <c r="M41" i="12"/>
  <c r="N39" i="12"/>
  <c r="N38" i="12"/>
  <c r="N37" i="12"/>
  <c r="N36" i="12"/>
  <c r="M34" i="12"/>
  <c r="N32" i="12"/>
  <c r="M31" i="12"/>
  <c r="M30" i="12"/>
  <c r="N118" i="12"/>
  <c r="M118" i="12"/>
  <c r="N117" i="12"/>
  <c r="N116" i="12"/>
  <c r="M116" i="12"/>
  <c r="M96" i="12"/>
  <c r="M94" i="12"/>
  <c r="M93" i="12"/>
  <c r="N92" i="12"/>
  <c r="M90" i="12"/>
  <c r="N89" i="12"/>
  <c r="M88" i="12"/>
  <c r="N87" i="12"/>
  <c r="M85" i="12"/>
  <c r="N82" i="12"/>
  <c r="T44" i="12" l="1"/>
  <c r="T48" i="12"/>
  <c r="T49" i="12"/>
  <c r="T53" i="12"/>
  <c r="T54" i="12"/>
  <c r="T55" i="12"/>
  <c r="T56" i="12"/>
  <c r="T57" i="12"/>
  <c r="T58" i="12"/>
  <c r="T68" i="12"/>
  <c r="T69" i="12"/>
  <c r="T70" i="12"/>
  <c r="T73" i="12"/>
  <c r="T82" i="12"/>
  <c r="T83" i="12"/>
  <c r="T89" i="12"/>
  <c r="T92" i="12"/>
  <c r="T93" i="12"/>
  <c r="T97" i="12"/>
  <c r="T103" i="12"/>
  <c r="T104" i="12"/>
  <c r="T105" i="12"/>
  <c r="T26" i="12"/>
  <c r="T30" i="12"/>
  <c r="T31" i="12"/>
  <c r="T38" i="12"/>
  <c r="T47" i="12"/>
  <c r="T50" i="12"/>
  <c r="T51" i="12"/>
  <c r="T71" i="12"/>
  <c r="T72" i="12"/>
  <c r="T75" i="12"/>
  <c r="T78" i="12"/>
  <c r="T85" i="12"/>
  <c r="T87" i="12"/>
  <c r="T88" i="12"/>
  <c r="T95" i="12"/>
  <c r="T102" i="12"/>
  <c r="T106" i="12"/>
  <c r="T107" i="12"/>
  <c r="T108" i="12"/>
  <c r="T109" i="12"/>
  <c r="T110" i="12"/>
  <c r="T111" i="12"/>
  <c r="T112" i="12"/>
  <c r="T113" i="12"/>
  <c r="T115" i="12"/>
  <c r="T34" i="12"/>
  <c r="T60" i="12"/>
  <c r="T61" i="12"/>
  <c r="T62" i="12"/>
  <c r="T63" i="12"/>
  <c r="T64" i="12"/>
  <c r="T65" i="12"/>
  <c r="T66" i="12"/>
  <c r="T67" i="12"/>
  <c r="T29" i="12"/>
  <c r="T32" i="12"/>
  <c r="T35" i="12"/>
  <c r="T39" i="12"/>
  <c r="T41" i="12"/>
  <c r="T42" i="12"/>
  <c r="T43" i="12"/>
  <c r="T114" i="12"/>
  <c r="T120" i="12"/>
  <c r="T27" i="12"/>
  <c r="T33" i="12"/>
  <c r="T119" i="12"/>
  <c r="T79" i="12"/>
  <c r="T81" i="12"/>
  <c r="T84" i="12"/>
  <c r="T90" i="12"/>
  <c r="T91" i="12"/>
  <c r="T96" i="12"/>
  <c r="T101" i="12"/>
  <c r="T116" i="12"/>
  <c r="T28" i="12"/>
  <c r="C16" i="12" s="1"/>
  <c r="T36" i="12"/>
  <c r="T37" i="12"/>
  <c r="T40" i="12"/>
  <c r="T45" i="12"/>
  <c r="T46" i="12"/>
  <c r="T52" i="12"/>
  <c r="T59" i="12"/>
  <c r="T74" i="12"/>
  <c r="T76" i="12"/>
  <c r="T77" i="12"/>
  <c r="T80" i="12"/>
  <c r="T86" i="12"/>
  <c r="T94" i="12"/>
  <c r="T98" i="12"/>
  <c r="T99" i="12"/>
  <c r="T100" i="12"/>
  <c r="T117" i="12"/>
  <c r="T118" i="12"/>
  <c r="T25" i="12"/>
  <c r="I12" i="15" l="1"/>
  <c r="I13" i="15" s="1"/>
  <c r="C19" i="15" s="1"/>
  <c r="I14" i="15"/>
  <c r="I5" i="15" l="1"/>
  <c r="I6" i="15" s="1"/>
  <c r="I7" i="15"/>
  <c r="I15" i="15"/>
  <c r="I8" i="15" l="1"/>
  <c r="C17" i="15"/>
  <c r="I2" i="15"/>
  <c r="I3" i="15" s="1"/>
  <c r="M115" i="15" l="1"/>
  <c r="M114" i="15"/>
  <c r="N114" i="15"/>
  <c r="N113" i="15"/>
  <c r="M113" i="15"/>
  <c r="M64" i="15"/>
  <c r="N63" i="15"/>
  <c r="M63" i="15"/>
  <c r="N62" i="15"/>
  <c r="M62" i="15"/>
  <c r="M116" i="15"/>
  <c r="N112" i="15"/>
  <c r="M112" i="15"/>
  <c r="N111" i="15"/>
  <c r="M111" i="15"/>
  <c r="M65" i="15"/>
  <c r="N110" i="15"/>
  <c r="M110" i="15"/>
  <c r="M67" i="15"/>
  <c r="N65" i="15"/>
  <c r="N64" i="15"/>
  <c r="N61" i="15"/>
  <c r="M61" i="15"/>
  <c r="N60" i="15"/>
  <c r="M60" i="15"/>
  <c r="N115" i="15"/>
  <c r="N109" i="15"/>
  <c r="M109" i="15"/>
  <c r="N108" i="15"/>
  <c r="M108" i="15"/>
  <c r="N107" i="15"/>
  <c r="N106" i="15"/>
  <c r="N105" i="15"/>
  <c r="M103" i="15"/>
  <c r="M101" i="15"/>
  <c r="N99" i="15"/>
  <c r="M98" i="15"/>
  <c r="M97" i="15"/>
  <c r="M96" i="15"/>
  <c r="M95" i="15"/>
  <c r="N94" i="15"/>
  <c r="M94" i="15"/>
  <c r="N93" i="15"/>
  <c r="M93" i="15"/>
  <c r="N92" i="15"/>
  <c r="M92" i="15"/>
  <c r="N91" i="15"/>
  <c r="M91" i="15"/>
  <c r="N90" i="15"/>
  <c r="M90" i="15"/>
  <c r="N89" i="15"/>
  <c r="M89" i="15"/>
  <c r="N88" i="15"/>
  <c r="M88" i="15"/>
  <c r="N87" i="15"/>
  <c r="M87" i="15"/>
  <c r="N86" i="15"/>
  <c r="M86" i="15"/>
  <c r="N85" i="15"/>
  <c r="M85" i="15"/>
  <c r="N84" i="15"/>
  <c r="M84" i="15"/>
  <c r="N83" i="15"/>
  <c r="M83" i="15"/>
  <c r="N82" i="15"/>
  <c r="M82" i="15"/>
  <c r="N81" i="15"/>
  <c r="M81" i="15"/>
  <c r="N80" i="15"/>
  <c r="M106" i="15"/>
  <c r="M104" i="15"/>
  <c r="M102" i="15"/>
  <c r="M100" i="15"/>
  <c r="N98" i="15"/>
  <c r="N79" i="15"/>
  <c r="N78" i="15"/>
  <c r="N77" i="15"/>
  <c r="N76" i="15"/>
  <c r="N75" i="15"/>
  <c r="N74" i="15"/>
  <c r="M74" i="15"/>
  <c r="M73" i="15"/>
  <c r="M72" i="15"/>
  <c r="M71" i="15"/>
  <c r="M70" i="15"/>
  <c r="M69" i="15"/>
  <c r="N68" i="15"/>
  <c r="N67" i="15"/>
  <c r="M27" i="15"/>
  <c r="N102" i="15"/>
  <c r="N100" i="15"/>
  <c r="N96" i="15"/>
  <c r="N95" i="15"/>
  <c r="M80" i="15"/>
  <c r="M79" i="15"/>
  <c r="M78" i="15"/>
  <c r="M77" i="15"/>
  <c r="M76" i="15"/>
  <c r="M75" i="15"/>
  <c r="N73" i="15"/>
  <c r="N72" i="15"/>
  <c r="N71" i="15"/>
  <c r="N70" i="15"/>
  <c r="N69" i="15"/>
  <c r="M68" i="15"/>
  <c r="N27" i="15"/>
  <c r="N104" i="15"/>
  <c r="N101" i="15"/>
  <c r="N97" i="15"/>
  <c r="M66" i="15"/>
  <c r="N59" i="15"/>
  <c r="M59" i="15"/>
  <c r="N58" i="15"/>
  <c r="M58" i="15"/>
  <c r="N57" i="15"/>
  <c r="M57" i="15"/>
  <c r="N56" i="15"/>
  <c r="M56" i="15"/>
  <c r="N55" i="15"/>
  <c r="M55" i="15"/>
  <c r="N54" i="15"/>
  <c r="M54" i="15"/>
  <c r="N25" i="15"/>
  <c r="M25" i="15"/>
  <c r="M107" i="15"/>
  <c r="M105" i="15"/>
  <c r="N103" i="15"/>
  <c r="M99" i="15"/>
  <c r="N66" i="15"/>
  <c r="N53" i="15"/>
  <c r="M53" i="15"/>
  <c r="N52" i="15"/>
  <c r="M52" i="15"/>
  <c r="N51" i="15"/>
  <c r="M30" i="15"/>
  <c r="M29" i="15"/>
  <c r="N120" i="15"/>
  <c r="M119" i="15"/>
  <c r="M117" i="15"/>
  <c r="M51" i="15"/>
  <c r="N50" i="15"/>
  <c r="M50" i="15"/>
  <c r="N49" i="15"/>
  <c r="M49" i="15"/>
  <c r="N48" i="15"/>
  <c r="M48" i="15"/>
  <c r="N47" i="15"/>
  <c r="M47" i="15"/>
  <c r="N46" i="15"/>
  <c r="M46" i="15"/>
  <c r="N45" i="15"/>
  <c r="M45" i="15"/>
  <c r="N44" i="15"/>
  <c r="M44" i="15"/>
  <c r="N43" i="15"/>
  <c r="M43" i="15"/>
  <c r="N42" i="15"/>
  <c r="M42" i="15"/>
  <c r="N41" i="15"/>
  <c r="M41" i="15"/>
  <c r="N40" i="15"/>
  <c r="N26" i="15"/>
  <c r="M26" i="15"/>
  <c r="N30" i="15"/>
  <c r="M28" i="15"/>
  <c r="M120" i="15"/>
  <c r="N118" i="15"/>
  <c r="N117" i="15"/>
  <c r="M40" i="15"/>
  <c r="N39" i="15"/>
  <c r="M39" i="15"/>
  <c r="N38" i="15"/>
  <c r="M38" i="15"/>
  <c r="N37" i="15"/>
  <c r="M37" i="15"/>
  <c r="N36" i="15"/>
  <c r="M36" i="15"/>
  <c r="N35" i="15"/>
  <c r="M35" i="15"/>
  <c r="N34" i="15"/>
  <c r="M34" i="15"/>
  <c r="N33" i="15"/>
  <c r="M33" i="15"/>
  <c r="N32" i="15"/>
  <c r="M32" i="15"/>
  <c r="N31" i="15"/>
  <c r="M31" i="15"/>
  <c r="N29" i="15"/>
  <c r="N28" i="15"/>
  <c r="N119" i="15"/>
  <c r="M118" i="15"/>
  <c r="N116" i="15"/>
  <c r="I12" i="16" l="1"/>
  <c r="I13" i="16" s="1"/>
  <c r="I14" i="16"/>
  <c r="I7" i="16"/>
  <c r="I5" i="16"/>
  <c r="I6" i="16" s="1"/>
  <c r="C19" i="16" l="1"/>
  <c r="I15" i="16"/>
  <c r="I8" i="16"/>
  <c r="C17" i="16"/>
  <c r="I2" i="16"/>
  <c r="I3" i="16" s="1"/>
  <c r="N76" i="16" l="1"/>
  <c r="M76" i="16"/>
  <c r="M81" i="16"/>
  <c r="M88" i="16"/>
  <c r="M84" i="16"/>
  <c r="N77" i="16"/>
  <c r="N120" i="16"/>
  <c r="M96" i="16"/>
  <c r="N117" i="16"/>
  <c r="M117" i="16"/>
  <c r="N116" i="16"/>
  <c r="M116" i="16"/>
  <c r="N115" i="16"/>
  <c r="M115" i="16"/>
  <c r="M103" i="16"/>
  <c r="N102" i="16"/>
  <c r="M102" i="16"/>
  <c r="N101" i="16"/>
  <c r="N99" i="16"/>
  <c r="N96" i="16"/>
  <c r="N75" i="16"/>
  <c r="M75" i="16"/>
  <c r="M65" i="16"/>
  <c r="N64" i="16"/>
  <c r="M64" i="16"/>
  <c r="N63" i="16"/>
  <c r="M63" i="16"/>
  <c r="N62" i="16"/>
  <c r="N58" i="16"/>
  <c r="M58" i="16"/>
  <c r="N57" i="16"/>
  <c r="M57" i="16"/>
  <c r="N56" i="16"/>
  <c r="M56" i="16"/>
  <c r="N55" i="16"/>
  <c r="N48" i="16"/>
  <c r="N78" i="16"/>
  <c r="M25" i="16"/>
  <c r="M82" i="16"/>
  <c r="M35" i="16"/>
  <c r="N28" i="16"/>
  <c r="M83" i="16"/>
  <c r="N38" i="16"/>
  <c r="N118" i="16"/>
  <c r="M100" i="16"/>
  <c r="N98" i="16"/>
  <c r="N97" i="16"/>
  <c r="N9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M92" i="16"/>
  <c r="M40" i="16"/>
  <c r="N90" i="16"/>
  <c r="M85" i="16"/>
  <c r="M79" i="16"/>
  <c r="M120" i="16"/>
  <c r="N100" i="16"/>
  <c r="M98" i="16"/>
  <c r="M93" i="16"/>
  <c r="M48" i="16"/>
  <c r="N47" i="16"/>
  <c r="M47" i="16"/>
  <c r="N46" i="16"/>
  <c r="M46" i="16"/>
  <c r="N45" i="16"/>
  <c r="M45" i="16"/>
  <c r="N44" i="16"/>
  <c r="M91" i="16"/>
  <c r="N87" i="16"/>
  <c r="N85" i="16"/>
  <c r="N83" i="16"/>
  <c r="N80" i="16"/>
  <c r="N41" i="16"/>
  <c r="N88" i="16"/>
  <c r="N42" i="16"/>
  <c r="N32" i="16"/>
  <c r="M32" i="16"/>
  <c r="N93" i="16"/>
  <c r="M41" i="16"/>
  <c r="N119" i="16"/>
  <c r="M119" i="16"/>
  <c r="M118" i="16"/>
  <c r="M101" i="16"/>
  <c r="M99" i="16"/>
  <c r="M97" i="16"/>
  <c r="M90" i="16"/>
  <c r="M39" i="16"/>
  <c r="M34" i="16"/>
  <c r="M33" i="16"/>
  <c r="N31" i="16"/>
  <c r="M30" i="16"/>
  <c r="N27" i="16"/>
  <c r="M27" i="16"/>
  <c r="N26" i="16"/>
  <c r="M26" i="16"/>
  <c r="N25" i="16"/>
  <c r="M94" i="16"/>
  <c r="N84" i="16"/>
  <c r="N79" i="16"/>
  <c r="M44" i="16"/>
  <c r="N37" i="16"/>
  <c r="N30" i="16"/>
  <c r="M87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2" i="16"/>
  <c r="N61" i="16"/>
  <c r="M61" i="16"/>
  <c r="N60" i="16"/>
  <c r="M60" i="16"/>
  <c r="N59" i="16"/>
  <c r="M59" i="16"/>
  <c r="N81" i="16"/>
  <c r="M78" i="16"/>
  <c r="M77" i="16"/>
  <c r="M43" i="16"/>
  <c r="N40" i="16"/>
  <c r="M38" i="16"/>
  <c r="N36" i="16"/>
  <c r="N35" i="16"/>
  <c r="N34" i="16"/>
  <c r="N33" i="16"/>
  <c r="M31" i="16"/>
  <c r="N29" i="16"/>
  <c r="M29" i="16"/>
  <c r="M28" i="16"/>
  <c r="M95" i="16"/>
  <c r="N91" i="16"/>
  <c r="M89" i="16"/>
  <c r="M86" i="16"/>
  <c r="N82" i="16"/>
  <c r="M80" i="16"/>
  <c r="N43" i="16"/>
  <c r="M42" i="16"/>
  <c r="N39" i="16"/>
  <c r="M37" i="16"/>
  <c r="M36" i="16"/>
  <c r="N94" i="16"/>
  <c r="N92" i="16"/>
  <c r="N89" i="16"/>
  <c r="N86" i="16"/>
</calcChain>
</file>

<file path=xl/sharedStrings.xml><?xml version="1.0" encoding="utf-8"?>
<sst xmlns="http://schemas.openxmlformats.org/spreadsheetml/2006/main" count="419" uniqueCount="99">
  <si>
    <t>Total</t>
  </si>
  <si>
    <t>F</t>
  </si>
  <si>
    <t>Est Y</t>
  </si>
  <si>
    <t>e = Y - Est Y</t>
  </si>
  <si>
    <t>e^2</t>
  </si>
  <si>
    <t>t</t>
  </si>
  <si>
    <t>Select Tools, Data Analysis, Regression.  Enter ranges as follows:</t>
  </si>
  <si>
    <t>INTERMEDIATE CALCULATIONS:</t>
  </si>
  <si>
    <t>3 X RMSE</t>
  </si>
  <si>
    <t>Number of data</t>
  </si>
  <si>
    <t>Outlier</t>
  </si>
  <si>
    <t>Lower control</t>
  </si>
  <si>
    <t>Upper control</t>
  </si>
  <si>
    <t>Indicator</t>
  </si>
  <si>
    <t>INPUT:</t>
  </si>
  <si>
    <t>Last period to forecast</t>
  </si>
  <si>
    <t>OUTPUT:</t>
  </si>
  <si>
    <t>Nbr. of outliers</t>
  </si>
  <si>
    <t>Warm-up MSE</t>
  </si>
  <si>
    <t>Forecasting MSE</t>
  </si>
  <si>
    <t>Warm-up MAD</t>
  </si>
  <si>
    <t>Forecasting MAD</t>
  </si>
  <si>
    <t>Nbr. of warm-up data</t>
  </si>
  <si>
    <t>RMSE (Square root of MSE)</t>
  </si>
  <si>
    <t>Warm-up SSE</t>
  </si>
  <si>
    <t>Forecasting SSE</t>
  </si>
  <si>
    <t>Fcst SSE - Warm-up SSE</t>
  </si>
  <si>
    <t>Nbr. of forecast periods</t>
  </si>
  <si>
    <t>Warm-up Sum abs. err.</t>
  </si>
  <si>
    <t>Forecasting Sum abs. err.</t>
  </si>
  <si>
    <t>Fcst Sum abs. - Warm-up Sum abs.</t>
  </si>
  <si>
    <t>Last forecast at period</t>
  </si>
  <si>
    <t>Sum</t>
  </si>
  <si>
    <t>errors</t>
  </si>
  <si>
    <t>error^2</t>
  </si>
  <si>
    <t xml:space="preserve">Ensure number of data selected for Y and X ranges agree with the </t>
  </si>
  <si>
    <t>nbr. of warm-up data entered in cell C10.</t>
  </si>
  <si>
    <t>nbr outliers</t>
  </si>
  <si>
    <t>Sum abs</t>
  </si>
  <si>
    <t>Exponential regression on time</t>
  </si>
  <si>
    <t>ln(Y)</t>
  </si>
  <si>
    <t>Est ln(Y)</t>
  </si>
  <si>
    <t>X range</t>
  </si>
  <si>
    <t>Y range</t>
  </si>
  <si>
    <t>Data</t>
  </si>
  <si>
    <t>Mon/yr.</t>
  </si>
  <si>
    <t>IBM World-wide sales</t>
  </si>
  <si>
    <r>
      <t>ln(Y</t>
    </r>
    <r>
      <rPr>
        <vertAlign val="subscript"/>
        <sz val="10"/>
        <rFont val="Arial"/>
        <family val="2"/>
      </rPr>
      <t xml:space="preserve">t) </t>
    </r>
    <r>
      <rPr>
        <sz val="10"/>
        <rFont val="Arial"/>
        <family val="2"/>
      </rPr>
      <t>= a + bt</t>
    </r>
  </si>
  <si>
    <t>Regression ranges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</si>
  <si>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</si>
  <si>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</si>
  <si>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</si>
  <si>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</si>
  <si>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</si>
  <si>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</si>
  <si>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</si>
  <si>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</si>
  <si>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</si>
  <si>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</si>
  <si>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Intercepción</t>
  </si>
  <si>
    <t>Grados de libertad</t>
  </si>
  <si>
    <t>Suma de cuadrados</t>
  </si>
  <si>
    <t>Promedio de los cuadrados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</si>
  <si>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</si>
  <si>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</si>
  <si>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</si>
  <si>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</si>
  <si>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</si>
  <si>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</si>
  <si>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</si>
  <si>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</si>
  <si>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</si>
  <si>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t^2</t>
  </si>
  <si>
    <t>Variable X 2</t>
  </si>
  <si>
    <t>POLINOMICA_2</t>
  </si>
  <si>
    <t>Polinomica 2do Grado regression on time</t>
  </si>
  <si>
    <t>Linear regression on time</t>
  </si>
  <si>
    <r>
      <t>Y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= a + bt</t>
    </r>
  </si>
  <si>
    <t>LINEAL</t>
  </si>
  <si>
    <t>EXPONENCIAL</t>
  </si>
  <si>
    <t>Y = a + b*t + c*t^2</t>
  </si>
  <si>
    <t>LOGARITMICO</t>
  </si>
  <si>
    <t>Y = a + b*ln(t)</t>
  </si>
  <si>
    <t>ln(t)</t>
  </si>
  <si>
    <t>POTENCIAL</t>
  </si>
  <si>
    <t>ln(Y) = a + b*ln(t)</t>
  </si>
  <si>
    <t>Y range includes column B,  X range includes column C (mismo tamaño de la columna B), Output range = M1.</t>
  </si>
  <si>
    <t>Y range includes column E,  X range includes column D (mismo tamaño de la columna E), Output range = M1.</t>
  </si>
  <si>
    <t>Y range includes column B,  X range includes column D (mismo tamaño de la columna B), Output range = M1.</t>
  </si>
  <si>
    <t>Y range includes column D,  X range includes column C (mismo tamaño de la columna D), Output range = M1.</t>
  </si>
  <si>
    <t>Y range includes column B,  X range includes column C y D (mismo tamaño de la columna B), Output range = M1.</t>
  </si>
  <si>
    <t>Logaritmica regression on time</t>
  </si>
  <si>
    <t>Ponential regression on time</t>
  </si>
  <si>
    <t>Lineal</t>
  </si>
  <si>
    <t>Potencial</t>
  </si>
  <si>
    <t>Logaritmico</t>
  </si>
  <si>
    <t>Polinomica_2</t>
  </si>
  <si>
    <t>Exponencial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</si>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</sst>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0.000"/>
    <numFmt numFmtId="168" formatCode="_(* #,##0.0000_);_(* \(#,##0.0000\);_(* &quot;-&quot;??_);_(@_)"/>
    <numFmt numFmtId="169" formatCode="#,##0.0000"/>
    <numFmt numFmtId="170" formatCode="0.00_)"/>
    <numFmt numFmtId="171" formatCode="0.0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bscript"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/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/>
    <xf numFmtId="0" fontId="4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8" fontId="0" fillId="0" borderId="0" xfId="0" applyNumberFormat="1"/>
    <xf numFmtId="169" fontId="5" fillId="0" borderId="0" xfId="0" applyNumberFormat="1" applyFont="1"/>
    <xf numFmtId="0" fontId="2" fillId="0" borderId="0" xfId="0" applyFont="1" applyAlignment="1">
      <alignment horizontal="left"/>
    </xf>
    <xf numFmtId="170" fontId="4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70" fontId="4" fillId="0" borderId="0" xfId="0" applyNumberFormat="1" applyFont="1" applyAlignment="1">
      <alignment horizontal="center"/>
    </xf>
    <xf numFmtId="2" fontId="4" fillId="0" borderId="0" xfId="0" applyNumberFormat="1" applyFont="1"/>
    <xf numFmtId="166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" fontId="2" fillId="2" borderId="3" xfId="1" applyNumberFormat="1" applyFont="1" applyFill="1" applyBorder="1" applyAlignment="1">
      <alignment horizontal="center"/>
    </xf>
    <xf numFmtId="3" fontId="2" fillId="2" borderId="3" xfId="1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3" xfId="0" applyFont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4" fillId="3" borderId="0" xfId="0" applyFont="1" applyFill="1"/>
    <xf numFmtId="168" fontId="0" fillId="3" borderId="0" xfId="0" applyNumberFormat="1" applyFill="1"/>
    <xf numFmtId="165" fontId="0" fillId="3" borderId="0" xfId="0" applyNumberFormat="1" applyFill="1"/>
    <xf numFmtId="0" fontId="2" fillId="0" borderId="3" xfId="0" applyFont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2" fontId="0" fillId="4" borderId="0" xfId="0" applyNumberForma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171" fontId="0" fillId="4" borderId="0" xfId="0" applyNumberFormat="1" applyFill="1" applyAlignment="1">
      <alignment horizontal="center"/>
    </xf>
    <xf numFmtId="169" fontId="5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Regresión lineal en función</a:t>
            </a:r>
            <a:r>
              <a:rPr lang="es-PE" sz="1400" baseline="0"/>
              <a:t> del tiempo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Lineal!$A$25:$A$31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Lineal!$D$25:$D$31</c:f>
              <c:numCache>
                <c:formatCode>0</c:formatCode>
                <c:ptCount val="7"/>
                <c:pt idx="0">
                  <c:v>4923.7594501718195</c:v>
                </c:pt>
                <c:pt idx="1">
                  <c:v>5162.7903780068737</c:v>
                </c:pt>
                <c:pt idx="2">
                  <c:v>5202.628865979379</c:v>
                </c:pt>
                <c:pt idx="3">
                  <c:v>5401.8213058419205</c:v>
                </c:pt>
                <c:pt idx="4" formatCode="0.0">
                  <c:v>5581.0945017182094</c:v>
                </c:pt>
                <c:pt idx="5" formatCode="0.0">
                  <c:v>5780.2869415807509</c:v>
                </c:pt>
                <c:pt idx="6" formatCode="0.0">
                  <c:v>5979.4793814432996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3A-4027-B487-B7B189FFC21A}"/>
            </c:ext>
          </c:extLst>
        </c:ser>
        <c:ser>
          <c:idx val="1"/>
          <c:order val="1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Lineal!$A$25:$A$31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Lineal!$B$25:$B$31</c:f>
              <c:numCache>
                <c:formatCode>#,##0</c:formatCode>
                <c:ptCount val="7"/>
                <c:pt idx="0">
                  <c:v>4963</c:v>
                </c:pt>
                <c:pt idx="1">
                  <c:v>5039</c:v>
                </c:pt>
                <c:pt idx="2">
                  <c:v>5257</c:v>
                </c:pt>
                <c:pt idx="3">
                  <c:v>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3A-4027-B487-B7B189FF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16718585192885749"/>
          <c:h val="0.1071799874573200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Gráfico de control para errores de pronóstico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7244280839957181E-2"/>
          <c:y val="0.10597941704655339"/>
          <c:w val="0.88749414797711235"/>
          <c:h val="0.79002417460975283"/>
        </c:manualLayout>
      </c:layout>
      <c:scatterChart>
        <c:scatterStyle val="smoothMarker"/>
        <c:varyColors val="0"/>
        <c:ser>
          <c:idx val="2"/>
          <c:order val="0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Lineal!$A$25:$A$31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Lineal!$M$25:$M$31</c:f>
              <c:numCache>
                <c:formatCode>0.0000</c:formatCode>
                <c:ptCount val="7"/>
                <c:pt idx="0">
                  <c:v>-215.9731870528725</c:v>
                </c:pt>
                <c:pt idx="1">
                  <c:v>-215.9731870528725</c:v>
                </c:pt>
                <c:pt idx="2">
                  <c:v>-215.9731870528725</c:v>
                </c:pt>
                <c:pt idx="3">
                  <c:v>-215.9731870528725</c:v>
                </c:pt>
                <c:pt idx="4">
                  <c:v>-215.9731870528725</c:v>
                </c:pt>
                <c:pt idx="5">
                  <c:v>-215.9731870528725</c:v>
                </c:pt>
                <c:pt idx="6">
                  <c:v>-215.9731870528725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C-44EF-8C67-3A544E3B9ACA}"/>
            </c:ext>
          </c:extLst>
        </c:ser>
        <c:ser>
          <c:idx val="0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Lineal!$A$25:$A$31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Lineal!$N$25:$N$31</c:f>
              <c:numCache>
                <c:formatCode>0.0000</c:formatCode>
                <c:ptCount val="7"/>
                <c:pt idx="0">
                  <c:v>215.9731870528725</c:v>
                </c:pt>
                <c:pt idx="1">
                  <c:v>215.9731870528725</c:v>
                </c:pt>
                <c:pt idx="2">
                  <c:v>215.9731870528725</c:v>
                </c:pt>
                <c:pt idx="3">
                  <c:v>215.9731870528725</c:v>
                </c:pt>
                <c:pt idx="4">
                  <c:v>215.9731870528725</c:v>
                </c:pt>
                <c:pt idx="5">
                  <c:v>215.9731870528725</c:v>
                </c:pt>
                <c:pt idx="6">
                  <c:v>215.9731870528725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DC-44EF-8C67-3A544E3B9ACA}"/>
            </c:ext>
          </c:extLst>
        </c:ser>
        <c:ser>
          <c:idx val="1"/>
          <c:order val="2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Lineal!$A$25:$A$31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Lineal!$E$25:$E$28</c:f>
              <c:numCache>
                <c:formatCode>0.00</c:formatCode>
                <c:ptCount val="4"/>
                <c:pt idx="0">
                  <c:v>39.240549828180519</c:v>
                </c:pt>
                <c:pt idx="1">
                  <c:v>-123.79037800687365</c:v>
                </c:pt>
                <c:pt idx="2">
                  <c:v>54.371134020620957</c:v>
                </c:pt>
                <c:pt idx="3">
                  <c:v>30.178694158079452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DC-44EF-8C67-3A544E3B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  <c:minorUnit val="5"/>
      </c:valAx>
      <c:valAx>
        <c:axId val="1666204991"/>
        <c:scaling>
          <c:orientation val="minMax"/>
          <c:max val="2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Regresión potencial en función</a:t>
            </a:r>
            <a:r>
              <a:rPr lang="es-PE" sz="1400" baseline="0"/>
              <a:t> del tiempo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Potencial!$A$25:$A$31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Potencial!$G$25:$G$31</c:f>
              <c:numCache>
                <c:formatCode>0.00</c:formatCode>
                <c:ptCount val="7"/>
                <c:pt idx="0">
                  <c:v>4927.0586540353106</c:v>
                </c:pt>
                <c:pt idx="1">
                  <c:v>5159.9294439868727</c:v>
                </c:pt>
                <c:pt idx="2">
                  <c:v>5199.6577777672628</c:v>
                </c:pt>
                <c:pt idx="3">
                  <c:v>5402.3176345878119</c:v>
                </c:pt>
                <c:pt idx="4">
                  <c:v>5590.5520523620735</c:v>
                </c:pt>
                <c:pt idx="5">
                  <c:v>5806.3699898855903</c:v>
                </c:pt>
                <c:pt idx="6">
                  <c:v>6029.4003090676297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B-4AD5-9411-123560572E7C}"/>
            </c:ext>
          </c:extLst>
        </c:ser>
        <c:ser>
          <c:idx val="1"/>
          <c:order val="1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Potencial!$A$25:$A$32</c:f>
              <c:numCache>
                <c:formatCode>General</c:formatCode>
                <c:ptCount val="8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Potencial!$B$25:$B$32</c:f>
              <c:numCache>
                <c:formatCode>#,##0</c:formatCode>
                <c:ptCount val="8"/>
                <c:pt idx="0">
                  <c:v>4963</c:v>
                </c:pt>
                <c:pt idx="1">
                  <c:v>5039</c:v>
                </c:pt>
                <c:pt idx="2">
                  <c:v>5257</c:v>
                </c:pt>
                <c:pt idx="3">
                  <c:v>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DB-4AD5-9411-12356057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16718585192885749"/>
          <c:h val="0.1071799874573200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Gráfico de control para errores de pronóstico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7244280839957181E-2"/>
          <c:y val="0.10597941704655339"/>
          <c:w val="0.88749414797711235"/>
          <c:h val="0.79002417460975283"/>
        </c:manualLayout>
      </c:layout>
      <c:scatterChart>
        <c:scatterStyle val="smoothMarker"/>
        <c:varyColors val="0"/>
        <c:ser>
          <c:idx val="2"/>
          <c:order val="0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Potencial!$A$25:$A$31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Potencial!$M$25:$M$31</c:f>
              <c:numCache>
                <c:formatCode>0.0000</c:formatCode>
                <c:ptCount val="7"/>
                <c:pt idx="0">
                  <c:v>-212.58172331953335</c:v>
                </c:pt>
                <c:pt idx="1">
                  <c:v>-212.58172331953335</c:v>
                </c:pt>
                <c:pt idx="2">
                  <c:v>-212.58172331953335</c:v>
                </c:pt>
                <c:pt idx="3">
                  <c:v>-212.58172331953335</c:v>
                </c:pt>
                <c:pt idx="4">
                  <c:v>-212.58172331953335</c:v>
                </c:pt>
                <c:pt idx="5">
                  <c:v>-212.58172331953335</c:v>
                </c:pt>
                <c:pt idx="6">
                  <c:v>-212.58172331953335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2A-41D6-B9D2-BE847DD29224}"/>
            </c:ext>
          </c:extLst>
        </c:ser>
        <c:ser>
          <c:idx val="0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Potencial!$A$25:$A$31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Potencial!$N$25:$N$31</c:f>
              <c:numCache>
                <c:formatCode>0.0000</c:formatCode>
                <c:ptCount val="7"/>
                <c:pt idx="0">
                  <c:v>212.58172331953335</c:v>
                </c:pt>
                <c:pt idx="1">
                  <c:v>212.58172331953335</c:v>
                </c:pt>
                <c:pt idx="2">
                  <c:v>212.58172331953335</c:v>
                </c:pt>
                <c:pt idx="3">
                  <c:v>212.58172331953335</c:v>
                </c:pt>
                <c:pt idx="4">
                  <c:v>212.58172331953335</c:v>
                </c:pt>
                <c:pt idx="5">
                  <c:v>212.58172331953335</c:v>
                </c:pt>
                <c:pt idx="6">
                  <c:v>212.58172331953335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2A-41D6-B9D2-BE847DD29224}"/>
            </c:ext>
          </c:extLst>
        </c:ser>
        <c:ser>
          <c:idx val="1"/>
          <c:order val="2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Potencial!$A$25:$A$31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Potencial!$H$25:$H$28</c:f>
              <c:numCache>
                <c:formatCode>0.00</c:formatCode>
                <c:ptCount val="4"/>
                <c:pt idx="0">
                  <c:v>35.94134596468939</c:v>
                </c:pt>
                <c:pt idx="1">
                  <c:v>-120.92944398687268</c:v>
                </c:pt>
                <c:pt idx="2">
                  <c:v>57.342222232737186</c:v>
                </c:pt>
                <c:pt idx="3">
                  <c:v>29.682365412188119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2A-41D6-B9D2-BE847DD2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  <c:minorUnit val="5"/>
      </c:valAx>
      <c:valAx>
        <c:axId val="1666204991"/>
        <c:scaling>
          <c:orientation val="minMax"/>
          <c:max val="2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Regresión exponencial en función</a:t>
            </a:r>
            <a:r>
              <a:rPr lang="es-PE" sz="1400" baseline="0"/>
              <a:t> del tiempo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Exponencial!$A$25:$A$31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Exponencial!$F$25:$F$31</c:f>
              <c:numCache>
                <c:formatCode>0.00</c:formatCode>
                <c:ptCount val="7"/>
                <c:pt idx="0">
                  <c:v>4927.266100797372</c:v>
                </c:pt>
                <c:pt idx="1">
                  <c:v>5159.5635967673961</c:v>
                </c:pt>
                <c:pt idx="2">
                  <c:v>5199.3309479646578</c:v>
                </c:pt>
                <c:pt idx="3">
                  <c:v>5402.8128305835262</c:v>
                </c:pt>
                <c:pt idx="4">
                  <c:v>5592.746529908537</c:v>
                </c:pt>
                <c:pt idx="5">
                  <c:v>5811.6251903179946</c:v>
                </c:pt>
                <c:pt idx="6">
                  <c:v>6039.0699224645659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E7-4AC4-BCF8-7ECD91062AFA}"/>
            </c:ext>
          </c:extLst>
        </c:ser>
        <c:ser>
          <c:idx val="1"/>
          <c:order val="1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Exponencial!$A$25:$A$32</c:f>
              <c:numCache>
                <c:formatCode>General</c:formatCode>
                <c:ptCount val="8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Exponencial!$B$25:$B$32</c:f>
              <c:numCache>
                <c:formatCode>#,##0</c:formatCode>
                <c:ptCount val="8"/>
                <c:pt idx="0">
                  <c:v>4963</c:v>
                </c:pt>
                <c:pt idx="1">
                  <c:v>5039</c:v>
                </c:pt>
                <c:pt idx="2">
                  <c:v>5257</c:v>
                </c:pt>
                <c:pt idx="3">
                  <c:v>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E7-4AC4-BCF8-7ECD9106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16718585192885749"/>
          <c:h val="0.1071799874573200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Gráfico de control para errores de pronóstico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7244280839957181E-2"/>
          <c:y val="0.10597941704655339"/>
          <c:w val="0.88749414797711235"/>
          <c:h val="0.79002417460975283"/>
        </c:manualLayout>
      </c:layout>
      <c:scatterChart>
        <c:scatterStyle val="smoothMarker"/>
        <c:varyColors val="0"/>
        <c:ser>
          <c:idx val="2"/>
          <c:order val="0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Exponencial!$A$25:$A$31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Exponencial!$M$25:$M$31</c:f>
              <c:numCache>
                <c:formatCode>0.0000</c:formatCode>
                <c:ptCount val="7"/>
                <c:pt idx="0">
                  <c:v>-212.07954023799795</c:v>
                </c:pt>
                <c:pt idx="1">
                  <c:v>-212.07954023799795</c:v>
                </c:pt>
                <c:pt idx="2">
                  <c:v>-212.07954023799795</c:v>
                </c:pt>
                <c:pt idx="3">
                  <c:v>-212.07954023799795</c:v>
                </c:pt>
                <c:pt idx="4">
                  <c:v>-212.07954023799795</c:v>
                </c:pt>
                <c:pt idx="5">
                  <c:v>-212.07954023799795</c:v>
                </c:pt>
                <c:pt idx="6">
                  <c:v>-212.07954023799795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1A-43CF-A9F3-3C2259DFF330}"/>
            </c:ext>
          </c:extLst>
        </c:ser>
        <c:ser>
          <c:idx val="0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Exponencial!$A$25:$A$31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Exponencial!$N$25:$N$31</c:f>
              <c:numCache>
                <c:formatCode>0.0000</c:formatCode>
                <c:ptCount val="7"/>
                <c:pt idx="0">
                  <c:v>212.07954023799795</c:v>
                </c:pt>
                <c:pt idx="1">
                  <c:v>212.07954023799795</c:v>
                </c:pt>
                <c:pt idx="2">
                  <c:v>212.07954023799795</c:v>
                </c:pt>
                <c:pt idx="3">
                  <c:v>212.07954023799795</c:v>
                </c:pt>
                <c:pt idx="4">
                  <c:v>212.07954023799795</c:v>
                </c:pt>
                <c:pt idx="5">
                  <c:v>212.07954023799795</c:v>
                </c:pt>
                <c:pt idx="6">
                  <c:v>212.07954023799795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1A-43CF-A9F3-3C2259DFF330}"/>
            </c:ext>
          </c:extLst>
        </c:ser>
        <c:ser>
          <c:idx val="1"/>
          <c:order val="2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Exponencial!$A$25:$A$31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Exponencial!$G$25:$G$28</c:f>
              <c:numCache>
                <c:formatCode>0.00</c:formatCode>
                <c:ptCount val="4"/>
                <c:pt idx="0">
                  <c:v>35.733899202627981</c:v>
                </c:pt>
                <c:pt idx="1">
                  <c:v>-120.56359676739612</c:v>
                </c:pt>
                <c:pt idx="2">
                  <c:v>57.669052035342247</c:v>
                </c:pt>
                <c:pt idx="3">
                  <c:v>29.187169416473807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1A-43CF-A9F3-3C2259DFF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  <c:minorUnit val="5"/>
      </c:valAx>
      <c:valAx>
        <c:axId val="1666204991"/>
        <c:scaling>
          <c:orientation val="minMax"/>
          <c:max val="2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Regresión logarítmica en función</a:t>
            </a:r>
            <a:r>
              <a:rPr lang="es-PE" sz="1400" baseline="0"/>
              <a:t> del tiempo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Logaritmico!$A$25:$A$31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Logaritmico!$E$25:$E$31</c:f>
              <c:numCache>
                <c:formatCode>0.00</c:formatCode>
                <c:ptCount val="7"/>
                <c:pt idx="0">
                  <c:v>4923.5469983642688</c:v>
                </c:pt>
                <c:pt idx="1">
                  <c:v>5163.158508374996</c:v>
                </c:pt>
                <c:pt idx="2">
                  <c:v>5202.9542885175906</c:v>
                </c:pt>
                <c:pt idx="3">
                  <c:v>5401.3402047430864</c:v>
                </c:pt>
                <c:pt idx="4">
                  <c:v>5579.0483773757005</c:v>
                </c:pt>
                <c:pt idx="5">
                  <c:v>5775.5783863092074</c:v>
                </c:pt>
                <c:pt idx="6">
                  <c:v>5971.1454809987918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FC-42B7-91CB-61F2920BA7A6}"/>
            </c:ext>
          </c:extLst>
        </c:ser>
        <c:ser>
          <c:idx val="1"/>
          <c:order val="1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Logaritmico!$A$25:$A$32</c:f>
              <c:numCache>
                <c:formatCode>General</c:formatCode>
                <c:ptCount val="8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Logaritmico!$B$25:$B$32</c:f>
              <c:numCache>
                <c:formatCode>#,##0</c:formatCode>
                <c:ptCount val="8"/>
                <c:pt idx="0">
                  <c:v>4963</c:v>
                </c:pt>
                <c:pt idx="1">
                  <c:v>5039</c:v>
                </c:pt>
                <c:pt idx="2">
                  <c:v>5257</c:v>
                </c:pt>
                <c:pt idx="3">
                  <c:v>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FC-42B7-91CB-61F2920B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16718585192885749"/>
          <c:h val="0.1071799874573200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Gráfico de control para errores de pronóstico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7244280839957181E-2"/>
          <c:y val="0.10597941704655339"/>
          <c:w val="0.88749414797711235"/>
          <c:h val="0.79002417460975283"/>
        </c:manualLayout>
      </c:layout>
      <c:scatterChart>
        <c:scatterStyle val="smoothMarker"/>
        <c:varyColors val="0"/>
        <c:ser>
          <c:idx val="2"/>
          <c:order val="0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Logaritmico!$A$25:$A$31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Logaritmico!$M$25:$M$31</c:f>
              <c:numCache>
                <c:formatCode>0.0000</c:formatCode>
                <c:ptCount val="7"/>
                <c:pt idx="0">
                  <c:v>-216.50376938593814</c:v>
                </c:pt>
                <c:pt idx="1">
                  <c:v>-216.50376938593814</c:v>
                </c:pt>
                <c:pt idx="2">
                  <c:v>-216.50376938593814</c:v>
                </c:pt>
                <c:pt idx="3">
                  <c:v>-216.50376938593814</c:v>
                </c:pt>
                <c:pt idx="4">
                  <c:v>-216.50376938593814</c:v>
                </c:pt>
                <c:pt idx="5">
                  <c:v>-216.50376938593814</c:v>
                </c:pt>
                <c:pt idx="6">
                  <c:v>-216.50376938593814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5B-4E89-8FD7-7B94B39B1A32}"/>
            </c:ext>
          </c:extLst>
        </c:ser>
        <c:ser>
          <c:idx val="0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Logaritmico!$A$25:$A$31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Logaritmico!$N$25:$N$31</c:f>
              <c:numCache>
                <c:formatCode>0.0000</c:formatCode>
                <c:ptCount val="7"/>
                <c:pt idx="0">
                  <c:v>216.50376938593814</c:v>
                </c:pt>
                <c:pt idx="1">
                  <c:v>216.50376938593814</c:v>
                </c:pt>
                <c:pt idx="2">
                  <c:v>216.50376938593814</c:v>
                </c:pt>
                <c:pt idx="3">
                  <c:v>216.50376938593814</c:v>
                </c:pt>
                <c:pt idx="4">
                  <c:v>216.50376938593814</c:v>
                </c:pt>
                <c:pt idx="5">
                  <c:v>216.50376938593814</c:v>
                </c:pt>
                <c:pt idx="6">
                  <c:v>216.50376938593814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5B-4E89-8FD7-7B94B39B1A32}"/>
            </c:ext>
          </c:extLst>
        </c:ser>
        <c:ser>
          <c:idx val="1"/>
          <c:order val="2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Logaritmico!$A$25:$A$31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Logaritmico!$F$25:$F$28</c:f>
              <c:numCache>
                <c:formatCode>0.00</c:formatCode>
                <c:ptCount val="4"/>
                <c:pt idx="0">
                  <c:v>39.453001635731198</c:v>
                </c:pt>
                <c:pt idx="1">
                  <c:v>-124.15850837499602</c:v>
                </c:pt>
                <c:pt idx="2">
                  <c:v>54.045711482409388</c:v>
                </c:pt>
                <c:pt idx="3">
                  <c:v>30.65979525691364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5B-4E89-8FD7-7B94B39B1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  <c:minorUnit val="5"/>
      </c:valAx>
      <c:valAx>
        <c:axId val="1666204991"/>
        <c:scaling>
          <c:orientation val="minMax"/>
          <c:max val="2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Regresión polinómica_2 en función</a:t>
            </a:r>
            <a:r>
              <a:rPr lang="es-PE" sz="1400" baseline="0"/>
              <a:t> del tiempo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Polinomica_2!$A$25:$A$31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Polinomica_2!$E$25:$E$31</c:f>
              <c:numCache>
                <c:formatCode>0.00</c:formatCode>
                <c:ptCount val="7"/>
                <c:pt idx="0">
                  <c:v>4956.8152195313014</c:v>
                </c:pt>
                <c:pt idx="1">
                  <c:v>5125.5869265601505</c:v>
                </c:pt>
                <c:pt idx="2">
                  <c:v>5167.9391612519976</c:v>
                </c:pt>
                <c:pt idx="3">
                  <c:v>5440.6586926556192</c:v>
                </c:pt>
                <c:pt idx="4">
                  <c:v>5772.9719309902284</c:v>
                </c:pt>
                <c:pt idx="5">
                  <c:v>6238.7262625512667</c:v>
                </c:pt>
                <c:pt idx="6">
                  <c:v>6806.0778573537245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E-4848-A52F-82182A92EFD2}"/>
            </c:ext>
          </c:extLst>
        </c:ser>
        <c:ser>
          <c:idx val="1"/>
          <c:order val="1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Polinomica_2!$A$25:$A$32</c:f>
              <c:numCache>
                <c:formatCode>General</c:formatCode>
                <c:ptCount val="8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Polinomica_2!$B$25:$B$32</c:f>
              <c:numCache>
                <c:formatCode>#,##0</c:formatCode>
                <c:ptCount val="8"/>
                <c:pt idx="0">
                  <c:v>4963</c:v>
                </c:pt>
                <c:pt idx="1">
                  <c:v>5039</c:v>
                </c:pt>
                <c:pt idx="2">
                  <c:v>5257</c:v>
                </c:pt>
                <c:pt idx="3">
                  <c:v>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E-4848-A52F-82182A92E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16718585192885749"/>
          <c:h val="0.1071799874573200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Gráfico de control para errores de pronóstico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7244280839957181E-2"/>
          <c:y val="0.10597941704655339"/>
          <c:w val="0.88749414797711235"/>
          <c:h val="0.79002417460975283"/>
        </c:manualLayout>
      </c:layout>
      <c:scatterChart>
        <c:scatterStyle val="smoothMarker"/>
        <c:varyColors val="0"/>
        <c:ser>
          <c:idx val="2"/>
          <c:order val="0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Polinomica_2!$A$25:$A$31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Polinomica_2!$M$25:$M$31</c:f>
              <c:numCache>
                <c:formatCode>0.0000</c:formatCode>
                <c:ptCount val="7"/>
                <c:pt idx="0">
                  <c:v>-187.00346244002372</c:v>
                </c:pt>
                <c:pt idx="1">
                  <c:v>-187.00346244002372</c:v>
                </c:pt>
                <c:pt idx="2">
                  <c:v>-187.00346244002372</c:v>
                </c:pt>
                <c:pt idx="3">
                  <c:v>-187.00346244002372</c:v>
                </c:pt>
                <c:pt idx="4">
                  <c:v>-187.00346244002372</c:v>
                </c:pt>
                <c:pt idx="5">
                  <c:v>-187.00346244002372</c:v>
                </c:pt>
                <c:pt idx="6">
                  <c:v>-187.00346244002372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67-4EF9-AA98-B46054F4F730}"/>
            </c:ext>
          </c:extLst>
        </c:ser>
        <c:ser>
          <c:idx val="0"/>
          <c:order val="1"/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Polinomica_2!$A$25:$A$31</c:f>
              <c:numCache>
                <c:formatCode>General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Polinomica_2!$N$25:$N$31</c:f>
              <c:numCache>
                <c:formatCode>0.0000</c:formatCode>
                <c:ptCount val="7"/>
                <c:pt idx="0">
                  <c:v>187.00346244002372</c:v>
                </c:pt>
                <c:pt idx="1">
                  <c:v>187.00346244002372</c:v>
                </c:pt>
                <c:pt idx="2">
                  <c:v>187.00346244002372</c:v>
                </c:pt>
                <c:pt idx="3">
                  <c:v>187.00346244002372</c:v>
                </c:pt>
                <c:pt idx="4">
                  <c:v>187.00346244002372</c:v>
                </c:pt>
                <c:pt idx="5">
                  <c:v>187.00346244002372</c:v>
                </c:pt>
                <c:pt idx="6">
                  <c:v>187.00346244002372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67-4EF9-AA98-B46054F4F730}"/>
            </c:ext>
          </c:extLst>
        </c:ser>
        <c:ser>
          <c:idx val="1"/>
          <c:order val="2"/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Polinomica_2!$A$25:$A$32</c:f>
              <c:numCache>
                <c:formatCode>General</c:formatCode>
                <c:ptCount val="8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Polinomica_2!$F$25:$F$32</c:f>
              <c:numCache>
                <c:formatCode>0.00</c:formatCode>
                <c:ptCount val="8"/>
                <c:pt idx="0">
                  <c:v>6.184780468698591</c:v>
                </c:pt>
                <c:pt idx="1">
                  <c:v>-86.586926560150459</c:v>
                </c:pt>
                <c:pt idx="2">
                  <c:v>89.060838748002425</c:v>
                </c:pt>
                <c:pt idx="3">
                  <c:v>-8.6586926556192338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67-4EF9-AA98-B46054F4F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  <c:minorUnit val="5"/>
      </c:valAx>
      <c:valAx>
        <c:axId val="1666204991"/>
        <c:scaling>
          <c:orientation val="minMax"/>
          <c:max val="2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4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400"/>
              <a:t>Modelos</a:t>
            </a:r>
            <a:r>
              <a:rPr lang="es-PE" sz="1400" baseline="0"/>
              <a:t> estadísticos de crecimiento poblacional</a:t>
            </a:r>
            <a:endParaRPr lang="es-PE" sz="1400"/>
          </a:p>
        </c:rich>
      </c:tx>
      <c:overlay val="0"/>
      <c:spPr>
        <a:noFill/>
        <a:ln>
          <a:solidFill>
            <a:sysClr val="windowText" lastClr="000000"/>
          </a:solidFill>
        </a:ln>
        <a:effectLst>
          <a:outerShdw dist="38100" dir="2700000" algn="tl" rotWithShape="0">
            <a:prstClr val="black"/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s-PE"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0761863309403254"/>
          <c:y val="0.10856943766984879"/>
          <c:w val="0.86711979572303699"/>
          <c:h val="0.7729839964694679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RESUMEN!$B$3</c:f>
              <c:strCache>
                <c:ptCount val="1"/>
                <c:pt idx="0">
                  <c:v>Lineal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RESUMEN!$A$4:$A$10</c:f>
              <c:numCache>
                <c:formatCode>0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RESUMEN!$B$4:$B$10</c:f>
              <c:numCache>
                <c:formatCode>0.00</c:formatCode>
                <c:ptCount val="7"/>
                <c:pt idx="0">
                  <c:v>4923.7594501718195</c:v>
                </c:pt>
                <c:pt idx="1">
                  <c:v>5162.7903780068737</c:v>
                </c:pt>
                <c:pt idx="2">
                  <c:v>5202.628865979379</c:v>
                </c:pt>
                <c:pt idx="3">
                  <c:v>5401.8213058419205</c:v>
                </c:pt>
                <c:pt idx="4">
                  <c:v>5581.0945017182094</c:v>
                </c:pt>
                <c:pt idx="5">
                  <c:v>5780.2869415807509</c:v>
                </c:pt>
                <c:pt idx="6">
                  <c:v>5979.4793814432996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C6-4BFF-B6D1-3797D71A3384}"/>
            </c:ext>
          </c:extLst>
        </c:ser>
        <c:ser>
          <c:idx val="2"/>
          <c:order val="1"/>
          <c:tx>
            <c:strRef>
              <c:f>RESUMEN!$C$3</c:f>
              <c:strCache>
                <c:ptCount val="1"/>
                <c:pt idx="0">
                  <c:v>Potencial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RESUMEN!$A$4:$A$10</c:f>
              <c:numCache>
                <c:formatCode>0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RESUMEN!$C$4:$C$10</c:f>
              <c:numCache>
                <c:formatCode>0.00</c:formatCode>
                <c:ptCount val="7"/>
                <c:pt idx="0">
                  <c:v>4927.0586540353106</c:v>
                </c:pt>
                <c:pt idx="1">
                  <c:v>5159.9294439868727</c:v>
                </c:pt>
                <c:pt idx="2">
                  <c:v>5199.6577777672628</c:v>
                </c:pt>
                <c:pt idx="3">
                  <c:v>5402.3176345878119</c:v>
                </c:pt>
                <c:pt idx="4">
                  <c:v>5590.5520523620735</c:v>
                </c:pt>
                <c:pt idx="5">
                  <c:v>5806.3699898855903</c:v>
                </c:pt>
                <c:pt idx="6">
                  <c:v>6029.4003090676297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C6-4BFF-B6D1-3797D71A3384}"/>
            </c:ext>
          </c:extLst>
        </c:ser>
        <c:ser>
          <c:idx val="4"/>
          <c:order val="2"/>
          <c:tx>
            <c:strRef>
              <c:f>RESUMEN!$F$3</c:f>
              <c:strCache>
                <c:ptCount val="1"/>
                <c:pt idx="0">
                  <c:v>Exponencial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RESUMEN!$A$4:$A$10</c:f>
              <c:numCache>
                <c:formatCode>0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RESUMEN!$F$4:$F$10</c:f>
              <c:numCache>
                <c:formatCode>0.00</c:formatCode>
                <c:ptCount val="7"/>
                <c:pt idx="0">
                  <c:v>4927.266100797372</c:v>
                </c:pt>
                <c:pt idx="1">
                  <c:v>5159.5635967673961</c:v>
                </c:pt>
                <c:pt idx="2">
                  <c:v>5199.3309479646578</c:v>
                </c:pt>
                <c:pt idx="3">
                  <c:v>5402.8128305835262</c:v>
                </c:pt>
                <c:pt idx="4">
                  <c:v>5592.746529908537</c:v>
                </c:pt>
                <c:pt idx="5">
                  <c:v>5811.6251903179946</c:v>
                </c:pt>
                <c:pt idx="6">
                  <c:v>6039.0699224645659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C6-4BFF-B6D1-3797D71A3384}"/>
            </c:ext>
          </c:extLst>
        </c:ser>
        <c:ser>
          <c:idx val="3"/>
          <c:order val="3"/>
          <c:tx>
            <c:strRef>
              <c:f>RESUMEN!$D$3</c:f>
              <c:strCache>
                <c:ptCount val="1"/>
                <c:pt idx="0">
                  <c:v>Logaritmico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RESUMEN!$A$4:$A$10</c:f>
              <c:numCache>
                <c:formatCode>0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RESUMEN!$D$4:$D$10</c:f>
              <c:numCache>
                <c:formatCode>0.00</c:formatCode>
                <c:ptCount val="7"/>
                <c:pt idx="0">
                  <c:v>4923.5469983642688</c:v>
                </c:pt>
                <c:pt idx="1">
                  <c:v>5163.158508374996</c:v>
                </c:pt>
                <c:pt idx="2">
                  <c:v>5202.9542885175906</c:v>
                </c:pt>
                <c:pt idx="3">
                  <c:v>5401.3402047430864</c:v>
                </c:pt>
                <c:pt idx="4">
                  <c:v>5579.0483773757005</c:v>
                </c:pt>
                <c:pt idx="5">
                  <c:v>5775.5783863092074</c:v>
                </c:pt>
                <c:pt idx="6">
                  <c:v>5971.1454809987918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C6-4BFF-B6D1-3797D71A3384}"/>
            </c:ext>
          </c:extLst>
        </c:ser>
        <c:ser>
          <c:idx val="0"/>
          <c:order val="4"/>
          <c:tx>
            <c:strRef>
              <c:f>RESUMEN!$E$3</c:f>
              <c:strCache>
                <c:ptCount val="1"/>
                <c:pt idx="0">
                  <c:v>Polinomica_2</c:v>
                </c:pt>
              </c:strCache>
            </c:strRef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RESUMEN!$A$4:$A$10</c:f>
              <c:numCache>
                <c:formatCode>0</c:formatCode>
                <c:ptCount val="7"/>
                <c:pt idx="0">
                  <c:v>1993</c:v>
                </c:pt>
                <c:pt idx="1">
                  <c:v>2005</c:v>
                </c:pt>
                <c:pt idx="2">
                  <c:v>2007</c:v>
                </c:pt>
                <c:pt idx="3">
                  <c:v>2017</c:v>
                </c:pt>
                <c:pt idx="4">
                  <c:v>2026</c:v>
                </c:pt>
                <c:pt idx="5">
                  <c:v>2036</c:v>
                </c:pt>
                <c:pt idx="6">
                  <c:v>2046</c:v>
                </c:pt>
              </c:numCache>
            </c:numRef>
          </c:xVal>
          <c:yVal>
            <c:numRef>
              <c:f>RESUMEN!$E$4:$E$10</c:f>
              <c:numCache>
                <c:formatCode>0.00</c:formatCode>
                <c:ptCount val="7"/>
                <c:pt idx="0">
                  <c:v>4956.8152195313014</c:v>
                </c:pt>
                <c:pt idx="1">
                  <c:v>5125.5869265601505</c:v>
                </c:pt>
                <c:pt idx="2">
                  <c:v>5167.9391612519976</c:v>
                </c:pt>
                <c:pt idx="3">
                  <c:v>5440.6586926556192</c:v>
                </c:pt>
                <c:pt idx="4">
                  <c:v>5772.9719309902284</c:v>
                </c:pt>
                <c:pt idx="5">
                  <c:v>6238.7262625512667</c:v>
                </c:pt>
                <c:pt idx="6">
                  <c:v>6806.0778573537245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C6-4BFF-B6D1-3797D71A3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04511"/>
        <c:axId val="1666204991"/>
      </c:scatterChart>
      <c:valAx>
        <c:axId val="16662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991"/>
        <c:crosses val="autoZero"/>
        <c:crossBetween val="midCat"/>
        <c:majorUnit val="5"/>
      </c:valAx>
      <c:valAx>
        <c:axId val="1666204991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5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666204511"/>
        <c:crosses val="autoZero"/>
        <c:crossBetween val="midCat"/>
      </c:valAx>
      <c:spPr>
        <a:solidFill>
          <a:srgbClr val="FFFFCC"/>
        </a:solidFill>
        <a:ln>
          <a:noFill/>
        </a:ln>
        <a:effectLst>
          <a:softEdge rad="0"/>
        </a:effectLst>
      </c:spPr>
    </c:plotArea>
    <c:legend>
      <c:legendPos val="tr"/>
      <c:layout>
        <c:manualLayout>
          <c:xMode val="edge"/>
          <c:yMode val="edge"/>
          <c:x val="0.18243121917912011"/>
          <c:y val="0.14060390214484131"/>
          <c:w val="0.2205913811569655"/>
          <c:h val="0.26794996864330012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13592</xdr:colOff>
      <xdr:row>32</xdr:row>
      <xdr:rowOff>0</xdr:rowOff>
    </xdr:from>
    <xdr:to>
      <xdr:col>9</xdr:col>
      <xdr:colOff>19231</xdr:colOff>
      <xdr:row>58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1CDAB-2E0A-43B4-8D9F-3CC4B1B0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885825</xdr:colOff>
      <xdr:row>59</xdr:row>
      <xdr:rowOff>19050</xdr:rowOff>
    </xdr:from>
    <xdr:to>
      <xdr:col>8</xdr:col>
      <xdr:colOff>891464</xdr:colOff>
      <xdr:row>85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CA62A7-C00A-49B0-B638-FDAC2B40E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13592</xdr:colOff>
      <xdr:row>33</xdr:row>
      <xdr:rowOff>0</xdr:rowOff>
    </xdr:from>
    <xdr:to>
      <xdr:col>9</xdr:col>
      <xdr:colOff>19231</xdr:colOff>
      <xdr:row>59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CD197F-C60E-4582-934E-C86AF80BD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60</xdr:row>
      <xdr:rowOff>133350</xdr:rowOff>
    </xdr:from>
    <xdr:to>
      <xdr:col>9</xdr:col>
      <xdr:colOff>38100</xdr:colOff>
      <xdr:row>87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636B5A-F580-4330-B7BC-F36388E4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13592</xdr:colOff>
      <xdr:row>32</xdr:row>
      <xdr:rowOff>0</xdr:rowOff>
    </xdr:from>
    <xdr:to>
      <xdr:col>9</xdr:col>
      <xdr:colOff>19231</xdr:colOff>
      <xdr:row>58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96809E-A559-4C40-9F88-893C5085F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885825</xdr:colOff>
      <xdr:row>59</xdr:row>
      <xdr:rowOff>19050</xdr:rowOff>
    </xdr:from>
    <xdr:to>
      <xdr:col>8</xdr:col>
      <xdr:colOff>891464</xdr:colOff>
      <xdr:row>85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1E0063-958C-4248-9720-CF1E148A2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13592</xdr:colOff>
      <xdr:row>32</xdr:row>
      <xdr:rowOff>0</xdr:rowOff>
    </xdr:from>
    <xdr:to>
      <xdr:col>9</xdr:col>
      <xdr:colOff>19231</xdr:colOff>
      <xdr:row>58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FC621D-C278-43DC-AA6E-9152D9FB2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885825</xdr:colOff>
      <xdr:row>59</xdr:row>
      <xdr:rowOff>19050</xdr:rowOff>
    </xdr:from>
    <xdr:to>
      <xdr:col>8</xdr:col>
      <xdr:colOff>891464</xdr:colOff>
      <xdr:row>85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2C13A5-27D2-4D1A-9622-DA774C7EA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880367</xdr:colOff>
      <xdr:row>32</xdr:row>
      <xdr:rowOff>0</xdr:rowOff>
    </xdr:from>
    <xdr:to>
      <xdr:col>8</xdr:col>
      <xdr:colOff>886006</xdr:colOff>
      <xdr:row>58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85C285-CC48-405F-BB9A-C0C12F61B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59</xdr:row>
      <xdr:rowOff>133350</xdr:rowOff>
    </xdr:from>
    <xdr:to>
      <xdr:col>9</xdr:col>
      <xdr:colOff>5639</xdr:colOff>
      <xdr:row>86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533888-D192-45D9-AE0C-7167C6E1D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223142</xdr:colOff>
      <xdr:row>3</xdr:row>
      <xdr:rowOff>9525</xdr:rowOff>
    </xdr:from>
    <xdr:to>
      <xdr:col>19</xdr:col>
      <xdr:colOff>266881</xdr:colOff>
      <xdr:row>29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EFFD12-4DF0-436D-ABD7-23A67163C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3534-1B45-45CC-AB24-454172B1B108}">
  <sheetPr>
    <pageSetUpPr fitToPage="1"/>
  </sheetPr>
  <dimension ref="A1:W644"/>
  <sheetViews>
    <sheetView topLeftCell="A18" zoomScaleNormal="100" workbookViewId="0">
      <selection activeCell="D25" sqref="D25:D31"/>
    </sheetView>
  </sheetViews>
  <sheetFormatPr baseColWidth="10" defaultRowHeight="12.75" x14ac:dyDescent="0.2"/>
  <cols>
    <col min="1" max="1" width="10" customWidth="1"/>
    <col min="2" max="3" width="13.42578125" customWidth="1"/>
    <col min="4" max="4" width="12.7109375" customWidth="1"/>
    <col min="5" max="5" width="14.7109375" customWidth="1"/>
    <col min="6" max="6" width="13.42578125" customWidth="1"/>
    <col min="7" max="7" width="15.7109375" customWidth="1"/>
    <col min="8" max="8" width="12.85546875" customWidth="1"/>
    <col min="9" max="9" width="13.42578125" customWidth="1"/>
    <col min="10" max="10" width="6.28515625" customWidth="1"/>
    <col min="11" max="11" width="1.42578125" style="27" customWidth="1"/>
    <col min="12" max="12" width="5.5703125" customWidth="1"/>
    <col min="13" max="13" width="19" customWidth="1"/>
    <col min="14" max="14" width="12.7109375" customWidth="1"/>
    <col min="15" max="15" width="15" customWidth="1"/>
    <col min="16" max="16" width="14.28515625" customWidth="1"/>
    <col min="17" max="18" width="12.7109375" customWidth="1"/>
    <col min="19" max="19" width="15.140625" customWidth="1"/>
    <col min="20" max="20" width="15.7109375" customWidth="1"/>
    <col min="21" max="21" width="14.140625" customWidth="1"/>
    <col min="22" max="22" width="15.42578125" customWidth="1"/>
    <col min="23" max="256" width="9.140625" customWidth="1"/>
  </cols>
  <sheetData>
    <row r="1" spans="1:21" x14ac:dyDescent="0.2">
      <c r="A1" s="1" t="s">
        <v>78</v>
      </c>
      <c r="D1" s="1" t="s">
        <v>46</v>
      </c>
      <c r="G1" s="13" t="s">
        <v>7</v>
      </c>
      <c r="H1" s="5"/>
      <c r="I1" s="5"/>
      <c r="M1" t="s">
        <v>49</v>
      </c>
    </row>
    <row r="2" spans="1:21" ht="13.5" thickBot="1" x14ac:dyDescent="0.25">
      <c r="A2" s="5" t="s">
        <v>76</v>
      </c>
      <c r="G2" s="13" t="s">
        <v>23</v>
      </c>
      <c r="H2" s="5"/>
      <c r="I2" s="14">
        <f>IF(C15=0,0,SQRT(I6))</f>
        <v>71.991062350957506</v>
      </c>
    </row>
    <row r="3" spans="1:21" ht="15.75" x14ac:dyDescent="0.3">
      <c r="A3" s="5" t="s">
        <v>77</v>
      </c>
      <c r="G3" s="13" t="s">
        <v>8</v>
      </c>
      <c r="H3" s="5"/>
      <c r="I3" s="14">
        <f>3*I2</f>
        <v>215.9731870528725</v>
      </c>
      <c r="M3" s="36" t="s">
        <v>50</v>
      </c>
      <c r="N3" s="36"/>
    </row>
    <row r="4" spans="1:21" x14ac:dyDescent="0.2">
      <c r="A4" s="5" t="s">
        <v>6</v>
      </c>
      <c r="G4" s="1"/>
      <c r="H4" s="5"/>
      <c r="I4" s="14"/>
      <c r="M4" t="s">
        <v>51</v>
      </c>
      <c r="N4">
        <v>0.92075132202572718</v>
      </c>
    </row>
    <row r="5" spans="1:21" x14ac:dyDescent="0.2">
      <c r="A5" s="33" t="s">
        <v>86</v>
      </c>
      <c r="G5" s="13" t="s">
        <v>24</v>
      </c>
      <c r="H5" s="5"/>
      <c r="I5" s="14">
        <f>VLOOKUP($C$10,$P$25:$R$120,3)</f>
        <v>20730.852233677808</v>
      </c>
      <c r="M5" t="s">
        <v>52</v>
      </c>
      <c r="N5">
        <v>0.84778299701212445</v>
      </c>
    </row>
    <row r="6" spans="1:21" x14ac:dyDescent="0.2">
      <c r="A6" s="5" t="s">
        <v>35</v>
      </c>
      <c r="G6" s="13" t="s">
        <v>18</v>
      </c>
      <c r="H6" s="5"/>
      <c r="I6" s="19">
        <f>I5/$C$10</f>
        <v>5182.713058419452</v>
      </c>
      <c r="M6" t="s">
        <v>53</v>
      </c>
      <c r="N6">
        <v>0.77167449551818668</v>
      </c>
    </row>
    <row r="7" spans="1:21" x14ac:dyDescent="0.2">
      <c r="A7" s="5" t="s">
        <v>36</v>
      </c>
      <c r="D7" s="5"/>
      <c r="E7" s="2"/>
      <c r="G7" s="13" t="s">
        <v>25</v>
      </c>
      <c r="H7" s="5"/>
      <c r="I7" s="14">
        <f>VLOOKUP($C$15,$P$25:$R$120,3)</f>
        <v>20730.852233677808</v>
      </c>
      <c r="M7" t="s">
        <v>54</v>
      </c>
      <c r="N7">
        <v>101.81073674636919</v>
      </c>
    </row>
    <row r="8" spans="1:21" ht="13.5" thickBot="1" x14ac:dyDescent="0.25">
      <c r="G8" s="13" t="s">
        <v>26</v>
      </c>
      <c r="H8" s="5"/>
      <c r="I8" s="14">
        <f>I7-I5</f>
        <v>0</v>
      </c>
      <c r="M8" s="34" t="s">
        <v>55</v>
      </c>
      <c r="N8" s="34">
        <v>4</v>
      </c>
    </row>
    <row r="9" spans="1:21" x14ac:dyDescent="0.2">
      <c r="A9" s="13" t="s">
        <v>14</v>
      </c>
      <c r="B9" s="5"/>
      <c r="C9" s="5"/>
      <c r="G9" s="13" t="s">
        <v>27</v>
      </c>
      <c r="H9" s="5"/>
      <c r="I9" s="5">
        <f>$C$15-$C$10</f>
        <v>0</v>
      </c>
    </row>
    <row r="10" spans="1:21" ht="13.5" thickBot="1" x14ac:dyDescent="0.25">
      <c r="A10" s="13" t="s">
        <v>22</v>
      </c>
      <c r="B10" s="5"/>
      <c r="C10" s="6">
        <v>4</v>
      </c>
      <c r="G10" s="13" t="s">
        <v>19</v>
      </c>
      <c r="H10" s="5"/>
      <c r="I10" s="14">
        <f>IF(I9=0,0,+I8/I9)</f>
        <v>0</v>
      </c>
      <c r="M10" t="s">
        <v>56</v>
      </c>
    </row>
    <row r="11" spans="1:21" x14ac:dyDescent="0.2">
      <c r="A11" s="13" t="s">
        <v>15</v>
      </c>
      <c r="B11" s="5"/>
      <c r="C11" s="6">
        <v>2046</v>
      </c>
      <c r="D11" s="17"/>
      <c r="G11" s="1"/>
      <c r="H11" s="5"/>
      <c r="I11" s="14"/>
      <c r="M11" s="35"/>
      <c r="N11" s="35" t="s">
        <v>60</v>
      </c>
      <c r="O11" s="35" t="s">
        <v>61</v>
      </c>
      <c r="P11" s="35" t="s">
        <v>62</v>
      </c>
      <c r="Q11" s="35" t="s">
        <v>1</v>
      </c>
      <c r="R11" s="35" t="s">
        <v>63</v>
      </c>
    </row>
    <row r="12" spans="1:21" x14ac:dyDescent="0.2">
      <c r="D12" s="8"/>
      <c r="G12" s="13" t="s">
        <v>28</v>
      </c>
      <c r="H12" s="5"/>
      <c r="I12" s="14">
        <f>VLOOKUP($C$10,$P$25:$R$120,2)</f>
        <v>247.58075601375458</v>
      </c>
      <c r="M12" t="s">
        <v>57</v>
      </c>
      <c r="N12">
        <v>1</v>
      </c>
      <c r="O12">
        <v>115461.89776632302</v>
      </c>
      <c r="P12">
        <v>115461.89776632302</v>
      </c>
      <c r="Q12">
        <v>11.139136632188887</v>
      </c>
      <c r="R12">
        <v>7.9248677974272819E-2</v>
      </c>
    </row>
    <row r="13" spans="1:21" x14ac:dyDescent="0.2">
      <c r="G13" s="13" t="s">
        <v>20</v>
      </c>
      <c r="H13" s="5"/>
      <c r="I13" s="19">
        <f>I12/$C$10</f>
        <v>61.895189003438645</v>
      </c>
      <c r="M13" t="s">
        <v>58</v>
      </c>
      <c r="N13">
        <v>2</v>
      </c>
      <c r="O13">
        <v>20730.852233676978</v>
      </c>
      <c r="P13">
        <v>10365.426116838489</v>
      </c>
    </row>
    <row r="14" spans="1:21" ht="13.5" thickBot="1" x14ac:dyDescent="0.25">
      <c r="A14" s="13" t="s">
        <v>16</v>
      </c>
      <c r="B14" s="5"/>
      <c r="G14" s="13" t="s">
        <v>29</v>
      </c>
      <c r="H14" s="5"/>
      <c r="I14" s="14">
        <f>VLOOKUP($C$15,$P$25:$R$120,2)</f>
        <v>247.58075601375458</v>
      </c>
      <c r="M14" s="34" t="s">
        <v>0</v>
      </c>
      <c r="N14" s="34">
        <v>3</v>
      </c>
      <c r="O14" s="34">
        <v>136192.75</v>
      </c>
      <c r="P14" s="34"/>
      <c r="Q14" s="34"/>
      <c r="R14" s="34"/>
    </row>
    <row r="15" spans="1:21" ht="13.5" thickBot="1" x14ac:dyDescent="0.25">
      <c r="A15" s="13" t="s">
        <v>9</v>
      </c>
      <c r="B15" s="5"/>
      <c r="C15" s="8">
        <f>COUNT(B25:B120)</f>
        <v>4</v>
      </c>
      <c r="G15" s="13" t="s">
        <v>30</v>
      </c>
      <c r="H15" s="5"/>
      <c r="I15" s="14">
        <f>I14-I12</f>
        <v>0</v>
      </c>
    </row>
    <row r="16" spans="1:21" x14ac:dyDescent="0.2">
      <c r="A16" s="13" t="s">
        <v>17</v>
      </c>
      <c r="B16" s="5"/>
      <c r="C16" s="8">
        <f>VLOOKUP(C15,P25:T120,5)</f>
        <v>0</v>
      </c>
      <c r="G16" s="13" t="s">
        <v>27</v>
      </c>
      <c r="H16" s="5"/>
      <c r="I16" s="5">
        <f>$C$15-$C$10</f>
        <v>0</v>
      </c>
      <c r="M16" s="35"/>
      <c r="N16" s="35" t="s">
        <v>64</v>
      </c>
      <c r="O16" s="35" t="s">
        <v>54</v>
      </c>
      <c r="P16" s="35" t="s">
        <v>65</v>
      </c>
      <c r="Q16" s="35" t="s">
        <v>66</v>
      </c>
      <c r="R16" s="35" t="s">
        <v>67</v>
      </c>
      <c r="S16" s="35" t="s">
        <v>68</v>
      </c>
      <c r="T16" s="35" t="s">
        <v>69</v>
      </c>
      <c r="U16" s="35" t="s">
        <v>70</v>
      </c>
    </row>
    <row r="17" spans="1:23" x14ac:dyDescent="0.2">
      <c r="A17" s="13" t="s">
        <v>18</v>
      </c>
      <c r="B17" s="5"/>
      <c r="C17" s="18">
        <f>IF(C10=0,0,+I6)</f>
        <v>5182.713058419452</v>
      </c>
      <c r="G17" s="13" t="s">
        <v>21</v>
      </c>
      <c r="H17" s="5"/>
      <c r="I17" s="14">
        <f>IF(I16=0,0,+I15/I16)</f>
        <v>0</v>
      </c>
      <c r="M17" t="s">
        <v>59</v>
      </c>
      <c r="N17">
        <v>-34775.293814432989</v>
      </c>
      <c r="O17">
        <v>11969.435801442796</v>
      </c>
      <c r="P17">
        <v>-2.90534110306529</v>
      </c>
      <c r="Q17">
        <v>0.10086286153448676</v>
      </c>
      <c r="R17">
        <v>-86275.619439071801</v>
      </c>
      <c r="S17">
        <v>16725.031810205815</v>
      </c>
      <c r="T17">
        <v>-86275.619439071801</v>
      </c>
      <c r="U17">
        <v>16725.031810205815</v>
      </c>
    </row>
    <row r="18" spans="1:23" ht="13.5" thickBot="1" x14ac:dyDescent="0.25">
      <c r="A18" s="13" t="s">
        <v>19</v>
      </c>
      <c r="B18" s="5"/>
      <c r="C18" s="18">
        <f>IF(C15=0,0,+I10)</f>
        <v>0</v>
      </c>
      <c r="G18" s="13" t="s">
        <v>31</v>
      </c>
      <c r="H18" s="5"/>
      <c r="I18" s="5">
        <f>C11</f>
        <v>2046</v>
      </c>
      <c r="M18" s="34" t="s">
        <v>71</v>
      </c>
      <c r="N18" s="34">
        <v>19.919243986254294</v>
      </c>
      <c r="O18" s="34">
        <v>5.9682510855411843</v>
      </c>
      <c r="P18" s="34">
        <v>3.337534514007142</v>
      </c>
      <c r="Q18" s="34">
        <v>7.9248677974272708E-2</v>
      </c>
      <c r="R18" s="34">
        <v>-5.7600678387796833</v>
      </c>
      <c r="S18" s="34">
        <v>45.598555811288271</v>
      </c>
      <c r="T18" s="34">
        <v>-5.7600678387796833</v>
      </c>
      <c r="U18" s="34">
        <v>45.598555811288271</v>
      </c>
    </row>
    <row r="19" spans="1:23" x14ac:dyDescent="0.2">
      <c r="A19" s="13" t="s">
        <v>20</v>
      </c>
      <c r="B19" s="5"/>
      <c r="C19" s="18">
        <f>IF(C10=0,0,+I13)</f>
        <v>61.895189003438645</v>
      </c>
    </row>
    <row r="20" spans="1:23" x14ac:dyDescent="0.2">
      <c r="A20" s="13" t="s">
        <v>21</v>
      </c>
      <c r="B20" s="5"/>
      <c r="C20" s="18">
        <f>IF(C15=0,0,+I17)</f>
        <v>0</v>
      </c>
      <c r="W20" s="10"/>
    </row>
    <row r="21" spans="1:23" x14ac:dyDescent="0.2">
      <c r="F21" s="12"/>
      <c r="J21" s="16"/>
      <c r="K21" s="28"/>
      <c r="L21" s="16"/>
    </row>
    <row r="22" spans="1:23" x14ac:dyDescent="0.2">
      <c r="B22" s="42" t="s">
        <v>48</v>
      </c>
      <c r="C22" s="43"/>
      <c r="J22" s="16"/>
      <c r="K22" s="28"/>
    </row>
    <row r="23" spans="1:23" x14ac:dyDescent="0.2">
      <c r="B23" s="26" t="s">
        <v>43</v>
      </c>
      <c r="C23" s="26" t="s">
        <v>42</v>
      </c>
      <c r="G23" s="17"/>
      <c r="J23" s="5"/>
      <c r="K23" s="29"/>
      <c r="M23" s="40" t="s">
        <v>10</v>
      </c>
      <c r="N23" s="40"/>
      <c r="Q23" s="4" t="s">
        <v>38</v>
      </c>
      <c r="R23" s="4" t="s">
        <v>32</v>
      </c>
      <c r="S23" s="16" t="s">
        <v>10</v>
      </c>
      <c r="T23" s="4" t="s">
        <v>32</v>
      </c>
    </row>
    <row r="24" spans="1:23" x14ac:dyDescent="0.2">
      <c r="A24" s="4" t="s">
        <v>45</v>
      </c>
      <c r="B24" s="4" t="s">
        <v>44</v>
      </c>
      <c r="C24" s="4" t="s">
        <v>5</v>
      </c>
      <c r="D24" s="32" t="s">
        <v>2</v>
      </c>
      <c r="E24" s="4" t="s">
        <v>3</v>
      </c>
      <c r="F24" s="4" t="s">
        <v>4</v>
      </c>
      <c r="G24" s="4"/>
      <c r="H24" s="4"/>
      <c r="J24" s="5"/>
      <c r="K24" s="29"/>
      <c r="M24" s="4" t="s">
        <v>11</v>
      </c>
      <c r="N24" s="4" t="s">
        <v>12</v>
      </c>
      <c r="P24" s="4" t="s">
        <v>5</v>
      </c>
      <c r="Q24" s="4" t="s">
        <v>33</v>
      </c>
      <c r="R24" s="4" t="s">
        <v>34</v>
      </c>
      <c r="S24" s="16" t="s">
        <v>13</v>
      </c>
      <c r="T24" s="4" t="s">
        <v>37</v>
      </c>
    </row>
    <row r="25" spans="1:23" x14ac:dyDescent="0.2">
      <c r="A25" s="6">
        <v>1993</v>
      </c>
      <c r="B25" s="23">
        <v>4963</v>
      </c>
      <c r="C25" s="9">
        <f>IF(A25="","",A25)</f>
        <v>1993</v>
      </c>
      <c r="D25" s="25">
        <f>IF(A25="","",$N$17+$N$18*C25)</f>
        <v>4923.7594501718195</v>
      </c>
      <c r="E25" s="21">
        <f>IF(A25="","",IF(B25="",NA(),B25-D25))</f>
        <v>39.240549828180519</v>
      </c>
      <c r="F25" s="21">
        <f>IF(A25="","",IF(B25="",NA(),E25^2))</f>
        <v>1539.8207508179182</v>
      </c>
      <c r="G25" s="21"/>
      <c r="H25" s="21"/>
      <c r="J25" s="5"/>
      <c r="K25" s="29"/>
      <c r="M25" s="15">
        <f>-$I$3</f>
        <v>-215.9731870528725</v>
      </c>
      <c r="N25" s="15">
        <f>$I$3</f>
        <v>215.9731870528725</v>
      </c>
      <c r="P25" s="9">
        <v>1</v>
      </c>
      <c r="Q25" s="20">
        <f>ABS(E25)</f>
        <v>39.240549828180519</v>
      </c>
      <c r="R25" s="20">
        <f>E25^2</f>
        <v>1539.8207508179182</v>
      </c>
      <c r="S25" s="5">
        <f t="shared" ref="S25:S56" si="0">IF(C25&gt;$C$15,0,IF(ABS(G25)&gt;=$I$3,1,0))</f>
        <v>0</v>
      </c>
      <c r="T25">
        <f>SUM($S$26:S26)</f>
        <v>0</v>
      </c>
    </row>
    <row r="26" spans="1:23" x14ac:dyDescent="0.2">
      <c r="A26" s="6">
        <v>2005</v>
      </c>
      <c r="B26" s="23">
        <v>5039</v>
      </c>
      <c r="C26" s="9">
        <f t="shared" ref="C26:C89" si="1">IF(A26="","",A26)</f>
        <v>2005</v>
      </c>
      <c r="D26" s="25">
        <f t="shared" ref="D26:D89" si="2">IF(A26="","",$N$17+$N$18*C26)</f>
        <v>5162.7903780068737</v>
      </c>
      <c r="E26" s="21">
        <f t="shared" ref="E26:E89" si="3">IF(A26="","",IF(B26="",NA(),B26-D26))</f>
        <v>-123.79037800687365</v>
      </c>
      <c r="F26" s="21">
        <f t="shared" ref="F26:F89" si="4">IF(A26="","",IF(B26="",NA(),E26^2))</f>
        <v>15324.057687084669</v>
      </c>
      <c r="G26" s="21"/>
      <c r="H26" s="21"/>
      <c r="J26" s="5"/>
      <c r="K26" s="29"/>
      <c r="M26" s="15">
        <f t="shared" ref="M26:M89" si="5">-$I$3</f>
        <v>-215.9731870528725</v>
      </c>
      <c r="N26" s="15">
        <f t="shared" ref="N26:N89" si="6">$I$3</f>
        <v>215.9731870528725</v>
      </c>
      <c r="P26" s="9">
        <v>2</v>
      </c>
      <c r="Q26" s="20">
        <f>IF(B26="",0,+Q25+ABS(E26))</f>
        <v>163.03092783505417</v>
      </c>
      <c r="R26" s="20">
        <f>IF(B26="",0,+R25+E26^2)</f>
        <v>16863.878437902586</v>
      </c>
      <c r="S26" s="5">
        <f t="shared" si="0"/>
        <v>0</v>
      </c>
      <c r="T26">
        <f>SUM($S$26:S27)</f>
        <v>0</v>
      </c>
    </row>
    <row r="27" spans="1:23" x14ac:dyDescent="0.2">
      <c r="A27" s="6">
        <v>2007</v>
      </c>
      <c r="B27" s="23">
        <v>5257</v>
      </c>
      <c r="C27" s="9">
        <f t="shared" si="1"/>
        <v>2007</v>
      </c>
      <c r="D27" s="25">
        <f t="shared" si="2"/>
        <v>5202.628865979379</v>
      </c>
      <c r="E27" s="21">
        <f t="shared" si="3"/>
        <v>54.371134020620957</v>
      </c>
      <c r="F27" s="21">
        <f t="shared" si="4"/>
        <v>2956.2202146883255</v>
      </c>
      <c r="G27" s="21"/>
      <c r="H27" s="21"/>
      <c r="J27" s="5"/>
      <c r="K27" s="29"/>
      <c r="M27" s="15">
        <f t="shared" si="5"/>
        <v>-215.9731870528725</v>
      </c>
      <c r="N27" s="15">
        <f t="shared" si="6"/>
        <v>215.9731870528725</v>
      </c>
      <c r="P27" s="9">
        <v>3</v>
      </c>
      <c r="Q27" s="20">
        <f t="shared" ref="Q27:Q35" si="7">IF(B27="",0,+Q26+ABS(E27))</f>
        <v>217.40206185567513</v>
      </c>
      <c r="R27" s="20">
        <f t="shared" ref="R27:R35" si="8">IF(B27="",0,+R26+E27^2)</f>
        <v>19820.09865259091</v>
      </c>
      <c r="S27" s="5">
        <f t="shared" si="0"/>
        <v>0</v>
      </c>
      <c r="T27">
        <f>SUM($S$26:S28)</f>
        <v>0</v>
      </c>
    </row>
    <row r="28" spans="1:23" x14ac:dyDescent="0.2">
      <c r="A28" s="6">
        <v>2017</v>
      </c>
      <c r="B28" s="23">
        <v>5432</v>
      </c>
      <c r="C28" s="9">
        <f t="shared" si="1"/>
        <v>2017</v>
      </c>
      <c r="D28" s="25">
        <f t="shared" si="2"/>
        <v>5401.8213058419205</v>
      </c>
      <c r="E28" s="21">
        <f t="shared" si="3"/>
        <v>30.178694158079452</v>
      </c>
      <c r="F28" s="21">
        <f t="shared" si="4"/>
        <v>910.75358108689886</v>
      </c>
      <c r="G28" s="21"/>
      <c r="H28" s="21"/>
      <c r="J28" s="5"/>
      <c r="K28" s="29"/>
      <c r="M28" s="15">
        <f t="shared" si="5"/>
        <v>-215.9731870528725</v>
      </c>
      <c r="N28" s="15">
        <f t="shared" si="6"/>
        <v>215.9731870528725</v>
      </c>
      <c r="P28" s="9">
        <v>4</v>
      </c>
      <c r="Q28" s="20">
        <f t="shared" si="7"/>
        <v>247.58075601375458</v>
      </c>
      <c r="R28" s="20">
        <f t="shared" si="8"/>
        <v>20730.852233677808</v>
      </c>
      <c r="S28" s="5">
        <f t="shared" si="0"/>
        <v>0</v>
      </c>
      <c r="T28">
        <f>SUM($S$26:S29)</f>
        <v>0</v>
      </c>
    </row>
    <row r="29" spans="1:23" x14ac:dyDescent="0.2">
      <c r="A29" s="38">
        <v>2026</v>
      </c>
      <c r="B29" s="23"/>
      <c r="C29" s="9">
        <f t="shared" si="1"/>
        <v>2026</v>
      </c>
      <c r="D29" s="39">
        <f t="shared" si="2"/>
        <v>5581.0945017182094</v>
      </c>
      <c r="E29" s="21" t="e">
        <f t="shared" si="3"/>
        <v>#N/A</v>
      </c>
      <c r="F29" s="21" t="e">
        <f t="shared" si="4"/>
        <v>#N/A</v>
      </c>
      <c r="G29" s="21"/>
      <c r="H29" s="21"/>
      <c r="J29" s="5"/>
      <c r="K29" s="29"/>
      <c r="M29" s="15">
        <f t="shared" si="5"/>
        <v>-215.9731870528725</v>
      </c>
      <c r="N29" s="15">
        <f t="shared" si="6"/>
        <v>215.9731870528725</v>
      </c>
      <c r="P29" s="9">
        <v>5</v>
      </c>
      <c r="Q29" s="20">
        <f t="shared" si="7"/>
        <v>0</v>
      </c>
      <c r="R29" s="20">
        <f t="shared" si="8"/>
        <v>0</v>
      </c>
      <c r="S29" s="5">
        <f t="shared" si="0"/>
        <v>0</v>
      </c>
      <c r="T29">
        <f>SUM($S$26:S30)</f>
        <v>0</v>
      </c>
    </row>
    <row r="30" spans="1:23" x14ac:dyDescent="0.2">
      <c r="A30" s="38">
        <v>2036</v>
      </c>
      <c r="B30" s="23"/>
      <c r="C30" s="9">
        <f t="shared" si="1"/>
        <v>2036</v>
      </c>
      <c r="D30" s="39">
        <f t="shared" si="2"/>
        <v>5780.2869415807509</v>
      </c>
      <c r="E30" s="21" t="e">
        <f t="shared" si="3"/>
        <v>#N/A</v>
      </c>
      <c r="F30" s="21" t="e">
        <f t="shared" si="4"/>
        <v>#N/A</v>
      </c>
      <c r="G30" s="21"/>
      <c r="H30" s="21"/>
      <c r="J30" s="5"/>
      <c r="K30" s="29"/>
      <c r="M30" s="15">
        <f t="shared" si="5"/>
        <v>-215.9731870528725</v>
      </c>
      <c r="N30" s="15">
        <f t="shared" si="6"/>
        <v>215.9731870528725</v>
      </c>
      <c r="P30" s="9">
        <v>6</v>
      </c>
      <c r="Q30" s="20">
        <f t="shared" si="7"/>
        <v>0</v>
      </c>
      <c r="R30" s="20">
        <f t="shared" si="8"/>
        <v>0</v>
      </c>
      <c r="S30" s="5">
        <f t="shared" si="0"/>
        <v>0</v>
      </c>
      <c r="T30">
        <f>SUM($S$26:S31)</f>
        <v>0</v>
      </c>
    </row>
    <row r="31" spans="1:23" x14ac:dyDescent="0.2">
      <c r="A31" s="38">
        <v>2046</v>
      </c>
      <c r="B31" s="23"/>
      <c r="C31" s="9">
        <f t="shared" si="1"/>
        <v>2046</v>
      </c>
      <c r="D31" s="39">
        <f t="shared" si="2"/>
        <v>5979.4793814432996</v>
      </c>
      <c r="E31" s="21" t="e">
        <f t="shared" si="3"/>
        <v>#N/A</v>
      </c>
      <c r="F31" s="21" t="e">
        <f t="shared" si="4"/>
        <v>#N/A</v>
      </c>
      <c r="G31" s="21"/>
      <c r="H31" s="21"/>
      <c r="J31" s="5"/>
      <c r="K31" s="29"/>
      <c r="M31" s="15">
        <f t="shared" si="5"/>
        <v>-215.9731870528725</v>
      </c>
      <c r="N31" s="15">
        <f t="shared" si="6"/>
        <v>215.9731870528725</v>
      </c>
      <c r="P31" s="9">
        <v>7</v>
      </c>
      <c r="Q31" s="20">
        <f t="shared" si="7"/>
        <v>0</v>
      </c>
      <c r="R31" s="20">
        <f t="shared" si="8"/>
        <v>0</v>
      </c>
      <c r="S31" s="5">
        <f t="shared" si="0"/>
        <v>0</v>
      </c>
      <c r="T31">
        <f>SUM($S$26:S32)</f>
        <v>0</v>
      </c>
    </row>
    <row r="32" spans="1:23" x14ac:dyDescent="0.2">
      <c r="A32" s="6"/>
      <c r="B32" s="23"/>
      <c r="C32" s="9" t="str">
        <f t="shared" si="1"/>
        <v/>
      </c>
      <c r="D32" s="25" t="str">
        <f t="shared" si="2"/>
        <v/>
      </c>
      <c r="E32" s="21" t="str">
        <f t="shared" si="3"/>
        <v/>
      </c>
      <c r="F32" s="21" t="str">
        <f t="shared" si="4"/>
        <v/>
      </c>
      <c r="G32" s="21"/>
      <c r="H32" s="21"/>
      <c r="J32" s="5"/>
      <c r="K32" s="29"/>
      <c r="M32" s="15">
        <f t="shared" si="5"/>
        <v>-215.9731870528725</v>
      </c>
      <c r="N32" s="15">
        <f t="shared" si="6"/>
        <v>215.9731870528725</v>
      </c>
      <c r="P32" s="9">
        <v>8</v>
      </c>
      <c r="Q32" s="20">
        <f t="shared" si="7"/>
        <v>0</v>
      </c>
      <c r="R32" s="20">
        <f t="shared" si="8"/>
        <v>0</v>
      </c>
      <c r="S32" s="5">
        <f t="shared" si="0"/>
        <v>0</v>
      </c>
      <c r="T32">
        <f>SUM($S$26:S33)</f>
        <v>0</v>
      </c>
    </row>
    <row r="33" spans="1:20" x14ac:dyDescent="0.2">
      <c r="A33" s="6"/>
      <c r="B33" s="23"/>
      <c r="C33" s="9" t="str">
        <f t="shared" si="1"/>
        <v/>
      </c>
      <c r="D33" s="25" t="str">
        <f t="shared" si="2"/>
        <v/>
      </c>
      <c r="E33" s="21" t="str">
        <f t="shared" si="3"/>
        <v/>
      </c>
      <c r="F33" s="21" t="str">
        <f t="shared" si="4"/>
        <v/>
      </c>
      <c r="G33" s="21"/>
      <c r="H33" s="21"/>
      <c r="J33" s="5"/>
      <c r="K33" s="29"/>
      <c r="M33" s="15">
        <f t="shared" si="5"/>
        <v>-215.9731870528725</v>
      </c>
      <c r="N33" s="15">
        <f t="shared" si="6"/>
        <v>215.9731870528725</v>
      </c>
      <c r="P33" s="9">
        <v>9</v>
      </c>
      <c r="Q33" s="20">
        <f t="shared" si="7"/>
        <v>0</v>
      </c>
      <c r="R33" s="20">
        <f t="shared" si="8"/>
        <v>0</v>
      </c>
      <c r="S33" s="5">
        <f t="shared" si="0"/>
        <v>0</v>
      </c>
      <c r="T33">
        <f>SUM($S$26:S34)</f>
        <v>0</v>
      </c>
    </row>
    <row r="34" spans="1:20" x14ac:dyDescent="0.2">
      <c r="A34" s="6"/>
      <c r="B34" s="23"/>
      <c r="C34" s="9" t="str">
        <f t="shared" si="1"/>
        <v/>
      </c>
      <c r="D34" s="25" t="str">
        <f t="shared" si="2"/>
        <v/>
      </c>
      <c r="E34" s="21" t="str">
        <f t="shared" si="3"/>
        <v/>
      </c>
      <c r="F34" s="21" t="str">
        <f t="shared" si="4"/>
        <v/>
      </c>
      <c r="G34" s="21"/>
      <c r="H34" s="21"/>
      <c r="J34" s="5"/>
      <c r="K34" s="29"/>
      <c r="M34" s="15">
        <f t="shared" si="5"/>
        <v>-215.9731870528725</v>
      </c>
      <c r="N34" s="15">
        <f t="shared" si="6"/>
        <v>215.9731870528725</v>
      </c>
      <c r="P34" s="9">
        <v>10</v>
      </c>
      <c r="Q34" s="20">
        <f t="shared" si="7"/>
        <v>0</v>
      </c>
      <c r="R34" s="20">
        <f t="shared" si="8"/>
        <v>0</v>
      </c>
      <c r="S34" s="5">
        <f t="shared" si="0"/>
        <v>0</v>
      </c>
      <c r="T34">
        <f>SUM($S$26:S35)</f>
        <v>0</v>
      </c>
    </row>
    <row r="35" spans="1:20" x14ac:dyDescent="0.2">
      <c r="A35" s="6"/>
      <c r="B35" s="23"/>
      <c r="C35" s="9" t="str">
        <f t="shared" si="1"/>
        <v/>
      </c>
      <c r="D35" s="25" t="str">
        <f t="shared" si="2"/>
        <v/>
      </c>
      <c r="E35" s="21" t="str">
        <f t="shared" si="3"/>
        <v/>
      </c>
      <c r="F35" s="21" t="str">
        <f t="shared" si="4"/>
        <v/>
      </c>
      <c r="G35" s="21"/>
      <c r="H35" s="21"/>
      <c r="J35" s="5"/>
      <c r="K35" s="29"/>
      <c r="M35" s="15">
        <f t="shared" si="5"/>
        <v>-215.9731870528725</v>
      </c>
      <c r="N35" s="15">
        <f t="shared" si="6"/>
        <v>215.9731870528725</v>
      </c>
      <c r="P35" s="9">
        <v>11</v>
      </c>
      <c r="Q35" s="20">
        <f t="shared" si="7"/>
        <v>0</v>
      </c>
      <c r="R35" s="20">
        <f t="shared" si="8"/>
        <v>0</v>
      </c>
      <c r="S35" s="5">
        <f t="shared" si="0"/>
        <v>0</v>
      </c>
      <c r="T35">
        <f>SUM($S$26:S36)</f>
        <v>0</v>
      </c>
    </row>
    <row r="36" spans="1:20" x14ac:dyDescent="0.2">
      <c r="A36" s="6"/>
      <c r="B36" s="23"/>
      <c r="C36" s="9" t="str">
        <f t="shared" si="1"/>
        <v/>
      </c>
      <c r="D36" s="25" t="str">
        <f t="shared" si="2"/>
        <v/>
      </c>
      <c r="E36" s="21" t="str">
        <f t="shared" si="3"/>
        <v/>
      </c>
      <c r="F36" s="21" t="str">
        <f t="shared" si="4"/>
        <v/>
      </c>
      <c r="G36" s="21"/>
      <c r="H36" s="21"/>
      <c r="J36" s="5"/>
      <c r="K36" s="29"/>
      <c r="M36" s="15">
        <f t="shared" si="5"/>
        <v>-215.9731870528725</v>
      </c>
      <c r="N36" s="15">
        <f t="shared" si="6"/>
        <v>215.9731870528725</v>
      </c>
      <c r="P36" s="9">
        <v>12</v>
      </c>
      <c r="Q36" s="20">
        <f t="shared" ref="Q36:Q99" si="9">IF(B36="",0,+Q35+ABS(E36))</f>
        <v>0</v>
      </c>
      <c r="R36" s="20">
        <f t="shared" ref="R36:R99" si="10">IF(B36="",0,+R35+E36^2)</f>
        <v>0</v>
      </c>
      <c r="S36" s="5">
        <f t="shared" si="0"/>
        <v>0</v>
      </c>
      <c r="T36">
        <f>SUM($S$26:S37)</f>
        <v>0</v>
      </c>
    </row>
    <row r="37" spans="1:20" x14ac:dyDescent="0.2">
      <c r="A37" s="6"/>
      <c r="B37" s="23"/>
      <c r="C37" s="9" t="str">
        <f t="shared" si="1"/>
        <v/>
      </c>
      <c r="D37" s="25" t="str">
        <f t="shared" si="2"/>
        <v/>
      </c>
      <c r="E37" s="21" t="str">
        <f t="shared" si="3"/>
        <v/>
      </c>
      <c r="F37" s="21" t="str">
        <f t="shared" si="4"/>
        <v/>
      </c>
      <c r="G37" s="21"/>
      <c r="H37" s="21"/>
      <c r="J37" s="5"/>
      <c r="K37" s="29"/>
      <c r="M37" s="15">
        <f t="shared" si="5"/>
        <v>-215.9731870528725</v>
      </c>
      <c r="N37" s="15">
        <f t="shared" si="6"/>
        <v>215.9731870528725</v>
      </c>
      <c r="P37" s="9">
        <v>13</v>
      </c>
      <c r="Q37" s="20">
        <f t="shared" si="9"/>
        <v>0</v>
      </c>
      <c r="R37" s="20">
        <f t="shared" si="10"/>
        <v>0</v>
      </c>
      <c r="S37" s="5">
        <f t="shared" si="0"/>
        <v>0</v>
      </c>
      <c r="T37">
        <f>SUM($S$26:S38)</f>
        <v>0</v>
      </c>
    </row>
    <row r="38" spans="1:20" x14ac:dyDescent="0.2">
      <c r="A38" s="6"/>
      <c r="B38" s="23"/>
      <c r="C38" s="9" t="str">
        <f t="shared" si="1"/>
        <v/>
      </c>
      <c r="D38" s="25" t="str">
        <f t="shared" si="2"/>
        <v/>
      </c>
      <c r="E38" s="21" t="str">
        <f t="shared" si="3"/>
        <v/>
      </c>
      <c r="F38" s="21" t="str">
        <f t="shared" si="4"/>
        <v/>
      </c>
      <c r="G38" s="21"/>
      <c r="H38" s="21"/>
      <c r="J38" s="5"/>
      <c r="K38" s="29"/>
      <c r="M38" s="15">
        <f t="shared" si="5"/>
        <v>-215.9731870528725</v>
      </c>
      <c r="N38" s="15">
        <f t="shared" si="6"/>
        <v>215.9731870528725</v>
      </c>
      <c r="P38" s="9">
        <v>14</v>
      </c>
      <c r="Q38" s="20">
        <f t="shared" si="9"/>
        <v>0</v>
      </c>
      <c r="R38" s="20">
        <f t="shared" si="10"/>
        <v>0</v>
      </c>
      <c r="S38" s="5">
        <f t="shared" si="0"/>
        <v>0</v>
      </c>
      <c r="T38">
        <f>SUM($S$26:S39)</f>
        <v>0</v>
      </c>
    </row>
    <row r="39" spans="1:20" x14ac:dyDescent="0.2">
      <c r="A39" s="6"/>
      <c r="B39" s="23"/>
      <c r="C39" s="9" t="str">
        <f t="shared" si="1"/>
        <v/>
      </c>
      <c r="D39" s="25" t="str">
        <f t="shared" si="2"/>
        <v/>
      </c>
      <c r="E39" s="21" t="str">
        <f t="shared" si="3"/>
        <v/>
      </c>
      <c r="F39" s="21" t="str">
        <f t="shared" si="4"/>
        <v/>
      </c>
      <c r="G39" s="21"/>
      <c r="H39" s="21"/>
      <c r="J39" s="5"/>
      <c r="K39" s="29"/>
      <c r="M39" s="15">
        <f t="shared" si="5"/>
        <v>-215.9731870528725</v>
      </c>
      <c r="N39" s="15">
        <f t="shared" si="6"/>
        <v>215.9731870528725</v>
      </c>
      <c r="P39" s="9">
        <v>15</v>
      </c>
      <c r="Q39" s="20">
        <f t="shared" si="9"/>
        <v>0</v>
      </c>
      <c r="R39" s="20">
        <f t="shared" si="10"/>
        <v>0</v>
      </c>
      <c r="S39" s="5">
        <f t="shared" si="0"/>
        <v>0</v>
      </c>
      <c r="T39">
        <f>SUM($S$26:S40)</f>
        <v>0</v>
      </c>
    </row>
    <row r="40" spans="1:20" x14ac:dyDescent="0.2">
      <c r="A40" s="6"/>
      <c r="B40" s="23"/>
      <c r="C40" s="9" t="str">
        <f t="shared" si="1"/>
        <v/>
      </c>
      <c r="D40" s="25" t="str">
        <f t="shared" si="2"/>
        <v/>
      </c>
      <c r="E40" s="21" t="str">
        <f t="shared" si="3"/>
        <v/>
      </c>
      <c r="F40" s="21" t="str">
        <f t="shared" si="4"/>
        <v/>
      </c>
      <c r="G40" s="21"/>
      <c r="H40" s="21"/>
      <c r="J40" s="5"/>
      <c r="K40" s="29"/>
      <c r="M40" s="15">
        <f t="shared" si="5"/>
        <v>-215.9731870528725</v>
      </c>
      <c r="N40" s="15">
        <f t="shared" si="6"/>
        <v>215.9731870528725</v>
      </c>
      <c r="P40" s="9">
        <v>16</v>
      </c>
      <c r="Q40" s="20">
        <f t="shared" si="9"/>
        <v>0</v>
      </c>
      <c r="R40" s="20">
        <f t="shared" si="10"/>
        <v>0</v>
      </c>
      <c r="S40" s="5">
        <f t="shared" si="0"/>
        <v>0</v>
      </c>
      <c r="T40">
        <f>SUM($S$26:S41)</f>
        <v>0</v>
      </c>
    </row>
    <row r="41" spans="1:20" x14ac:dyDescent="0.2">
      <c r="A41" s="6"/>
      <c r="B41" s="22"/>
      <c r="C41" s="9" t="str">
        <f t="shared" si="1"/>
        <v/>
      </c>
      <c r="D41" s="25" t="str">
        <f t="shared" si="2"/>
        <v/>
      </c>
      <c r="E41" s="21" t="str">
        <f t="shared" si="3"/>
        <v/>
      </c>
      <c r="F41" s="21" t="str">
        <f t="shared" si="4"/>
        <v/>
      </c>
      <c r="G41" s="21"/>
      <c r="H41" s="21"/>
      <c r="J41" s="5"/>
      <c r="K41" s="29"/>
      <c r="M41" s="15">
        <f t="shared" si="5"/>
        <v>-215.9731870528725</v>
      </c>
      <c r="N41" s="15">
        <f t="shared" si="6"/>
        <v>215.9731870528725</v>
      </c>
      <c r="P41" s="9">
        <v>17</v>
      </c>
      <c r="Q41" s="20">
        <f t="shared" si="9"/>
        <v>0</v>
      </c>
      <c r="R41" s="20">
        <f t="shared" si="10"/>
        <v>0</v>
      </c>
      <c r="S41" s="5">
        <f t="shared" si="0"/>
        <v>0</v>
      </c>
      <c r="T41">
        <f>SUM($S$26:S42)</f>
        <v>0</v>
      </c>
    </row>
    <row r="42" spans="1:20" x14ac:dyDescent="0.2">
      <c r="A42" s="6"/>
      <c r="B42" s="22"/>
      <c r="C42" s="9" t="str">
        <f t="shared" si="1"/>
        <v/>
      </c>
      <c r="D42" s="25" t="str">
        <f t="shared" si="2"/>
        <v/>
      </c>
      <c r="E42" s="21" t="str">
        <f t="shared" si="3"/>
        <v/>
      </c>
      <c r="F42" s="21" t="str">
        <f t="shared" si="4"/>
        <v/>
      </c>
      <c r="G42" s="21"/>
      <c r="H42" s="21"/>
      <c r="J42" s="5"/>
      <c r="K42" s="29"/>
      <c r="M42" s="15">
        <f t="shared" si="5"/>
        <v>-215.9731870528725</v>
      </c>
      <c r="N42" s="15">
        <f t="shared" si="6"/>
        <v>215.9731870528725</v>
      </c>
      <c r="P42" s="9">
        <v>18</v>
      </c>
      <c r="Q42" s="20">
        <f t="shared" si="9"/>
        <v>0</v>
      </c>
      <c r="R42" s="20">
        <f t="shared" si="10"/>
        <v>0</v>
      </c>
      <c r="S42" s="5">
        <f t="shared" si="0"/>
        <v>0</v>
      </c>
      <c r="T42">
        <f>SUM($S$26:S43)</f>
        <v>0</v>
      </c>
    </row>
    <row r="43" spans="1:20" x14ac:dyDescent="0.2">
      <c r="A43" s="6"/>
      <c r="B43" s="22"/>
      <c r="C43" s="9" t="str">
        <f t="shared" si="1"/>
        <v/>
      </c>
      <c r="D43" s="25" t="str">
        <f t="shared" si="2"/>
        <v/>
      </c>
      <c r="E43" s="21" t="str">
        <f t="shared" si="3"/>
        <v/>
      </c>
      <c r="F43" s="21" t="str">
        <f t="shared" si="4"/>
        <v/>
      </c>
      <c r="G43" s="21"/>
      <c r="H43" s="21"/>
      <c r="J43" s="5"/>
      <c r="K43" s="29"/>
      <c r="M43" s="15">
        <f t="shared" si="5"/>
        <v>-215.9731870528725</v>
      </c>
      <c r="N43" s="15">
        <f t="shared" si="6"/>
        <v>215.9731870528725</v>
      </c>
      <c r="P43" s="9">
        <v>19</v>
      </c>
      <c r="Q43" s="20">
        <f t="shared" si="9"/>
        <v>0</v>
      </c>
      <c r="R43" s="20">
        <f t="shared" si="10"/>
        <v>0</v>
      </c>
      <c r="S43" s="5">
        <f t="shared" si="0"/>
        <v>0</v>
      </c>
      <c r="T43">
        <f>SUM($S$26:S44)</f>
        <v>0</v>
      </c>
    </row>
    <row r="44" spans="1:20" x14ac:dyDescent="0.2">
      <c r="A44" s="6"/>
      <c r="B44" s="22"/>
      <c r="C44" s="9" t="str">
        <f t="shared" si="1"/>
        <v/>
      </c>
      <c r="D44" s="25" t="str">
        <f t="shared" si="2"/>
        <v/>
      </c>
      <c r="E44" s="21" t="str">
        <f t="shared" si="3"/>
        <v/>
      </c>
      <c r="F44" s="21" t="str">
        <f t="shared" si="4"/>
        <v/>
      </c>
      <c r="G44" s="21"/>
      <c r="H44" s="21"/>
      <c r="J44" s="5"/>
      <c r="K44" s="29"/>
      <c r="M44" s="15">
        <f t="shared" si="5"/>
        <v>-215.9731870528725</v>
      </c>
      <c r="N44" s="15">
        <f t="shared" si="6"/>
        <v>215.9731870528725</v>
      </c>
      <c r="P44" s="9">
        <v>20</v>
      </c>
      <c r="Q44" s="20">
        <f t="shared" si="9"/>
        <v>0</v>
      </c>
      <c r="R44" s="20">
        <f t="shared" si="10"/>
        <v>0</v>
      </c>
      <c r="S44" s="5">
        <f t="shared" si="0"/>
        <v>0</v>
      </c>
      <c r="T44">
        <f>SUM($S$26:S45)</f>
        <v>0</v>
      </c>
    </row>
    <row r="45" spans="1:20" x14ac:dyDescent="0.2">
      <c r="A45" s="6"/>
      <c r="B45" s="22"/>
      <c r="C45" s="9" t="str">
        <f t="shared" si="1"/>
        <v/>
      </c>
      <c r="D45" s="25" t="str">
        <f t="shared" si="2"/>
        <v/>
      </c>
      <c r="E45" s="21" t="str">
        <f t="shared" si="3"/>
        <v/>
      </c>
      <c r="F45" s="21" t="str">
        <f t="shared" si="4"/>
        <v/>
      </c>
      <c r="G45" s="21"/>
      <c r="H45" s="21"/>
      <c r="J45" s="5"/>
      <c r="K45" s="29"/>
      <c r="M45" s="15">
        <f t="shared" si="5"/>
        <v>-215.9731870528725</v>
      </c>
      <c r="N45" s="15">
        <f t="shared" si="6"/>
        <v>215.9731870528725</v>
      </c>
      <c r="P45" s="9">
        <v>21</v>
      </c>
      <c r="Q45" s="20">
        <f t="shared" si="9"/>
        <v>0</v>
      </c>
      <c r="R45" s="20">
        <f t="shared" si="10"/>
        <v>0</v>
      </c>
      <c r="S45" s="5">
        <f t="shared" si="0"/>
        <v>0</v>
      </c>
      <c r="T45">
        <f>SUM($S$26:S46)</f>
        <v>0</v>
      </c>
    </row>
    <row r="46" spans="1:20" x14ac:dyDescent="0.2">
      <c r="A46" s="6"/>
      <c r="B46" s="7"/>
      <c r="C46" s="9" t="str">
        <f t="shared" si="1"/>
        <v/>
      </c>
      <c r="D46" s="25" t="str">
        <f t="shared" si="2"/>
        <v/>
      </c>
      <c r="E46" s="21" t="str">
        <f t="shared" si="3"/>
        <v/>
      </c>
      <c r="F46" s="21" t="str">
        <f t="shared" si="4"/>
        <v/>
      </c>
      <c r="G46" s="21"/>
      <c r="H46" s="21"/>
      <c r="J46" s="5"/>
      <c r="K46" s="29"/>
      <c r="M46" s="15">
        <f t="shared" si="5"/>
        <v>-215.9731870528725</v>
      </c>
      <c r="N46" s="15">
        <f t="shared" si="6"/>
        <v>215.9731870528725</v>
      </c>
      <c r="P46" s="9">
        <v>22</v>
      </c>
      <c r="Q46" s="20">
        <f t="shared" si="9"/>
        <v>0</v>
      </c>
      <c r="R46" s="20">
        <f t="shared" si="10"/>
        <v>0</v>
      </c>
      <c r="S46" s="5">
        <f t="shared" si="0"/>
        <v>0</v>
      </c>
      <c r="T46">
        <f>SUM($S$26:S47)</f>
        <v>0</v>
      </c>
    </row>
    <row r="47" spans="1:20" x14ac:dyDescent="0.2">
      <c r="A47" s="6"/>
      <c r="B47" s="7"/>
      <c r="C47" s="9" t="str">
        <f t="shared" si="1"/>
        <v/>
      </c>
      <c r="D47" s="25" t="str">
        <f t="shared" si="2"/>
        <v/>
      </c>
      <c r="E47" s="21" t="str">
        <f t="shared" si="3"/>
        <v/>
      </c>
      <c r="F47" s="21" t="str">
        <f t="shared" si="4"/>
        <v/>
      </c>
      <c r="G47" s="21"/>
      <c r="H47" s="21"/>
      <c r="J47" s="5"/>
      <c r="K47" s="29"/>
      <c r="M47" s="15">
        <f t="shared" si="5"/>
        <v>-215.9731870528725</v>
      </c>
      <c r="N47" s="15">
        <f t="shared" si="6"/>
        <v>215.9731870528725</v>
      </c>
      <c r="P47" s="9">
        <v>23</v>
      </c>
      <c r="Q47" s="20">
        <f t="shared" si="9"/>
        <v>0</v>
      </c>
      <c r="R47" s="20">
        <f t="shared" si="10"/>
        <v>0</v>
      </c>
      <c r="S47" s="5">
        <f t="shared" si="0"/>
        <v>0</v>
      </c>
      <c r="T47">
        <f>SUM($S$26:S48)</f>
        <v>0</v>
      </c>
    </row>
    <row r="48" spans="1:20" x14ac:dyDescent="0.2">
      <c r="A48" s="6"/>
      <c r="B48" s="7"/>
      <c r="C48" s="9" t="str">
        <f t="shared" si="1"/>
        <v/>
      </c>
      <c r="D48" s="25" t="str">
        <f t="shared" si="2"/>
        <v/>
      </c>
      <c r="E48" s="21" t="str">
        <f t="shared" si="3"/>
        <v/>
      </c>
      <c r="F48" s="21" t="str">
        <f t="shared" si="4"/>
        <v/>
      </c>
      <c r="G48" s="21"/>
      <c r="H48" s="21"/>
      <c r="J48" s="5"/>
      <c r="K48" s="29"/>
      <c r="M48" s="15">
        <f t="shared" si="5"/>
        <v>-215.9731870528725</v>
      </c>
      <c r="N48" s="15">
        <f t="shared" si="6"/>
        <v>215.9731870528725</v>
      </c>
      <c r="P48" s="9">
        <v>24</v>
      </c>
      <c r="Q48" s="20">
        <f t="shared" si="9"/>
        <v>0</v>
      </c>
      <c r="R48" s="20">
        <f t="shared" si="10"/>
        <v>0</v>
      </c>
      <c r="S48" s="5">
        <f t="shared" si="0"/>
        <v>0</v>
      </c>
      <c r="T48">
        <f>SUM($S$26:S49)</f>
        <v>0</v>
      </c>
    </row>
    <row r="49" spans="1:20" x14ac:dyDescent="0.2">
      <c r="A49" s="6"/>
      <c r="B49" s="7"/>
      <c r="C49" s="9" t="str">
        <f t="shared" si="1"/>
        <v/>
      </c>
      <c r="D49" s="25" t="str">
        <f t="shared" si="2"/>
        <v/>
      </c>
      <c r="E49" s="21" t="str">
        <f t="shared" si="3"/>
        <v/>
      </c>
      <c r="F49" s="21" t="str">
        <f t="shared" si="4"/>
        <v/>
      </c>
      <c r="G49" s="21"/>
      <c r="H49" s="21"/>
      <c r="J49" s="5"/>
      <c r="K49" s="29"/>
      <c r="M49" s="15">
        <f t="shared" si="5"/>
        <v>-215.9731870528725</v>
      </c>
      <c r="N49" s="15">
        <f t="shared" si="6"/>
        <v>215.9731870528725</v>
      </c>
      <c r="P49" s="9">
        <v>25</v>
      </c>
      <c r="Q49" s="20">
        <f t="shared" si="9"/>
        <v>0</v>
      </c>
      <c r="R49" s="20">
        <f t="shared" si="10"/>
        <v>0</v>
      </c>
      <c r="S49" s="5">
        <f t="shared" si="0"/>
        <v>0</v>
      </c>
      <c r="T49">
        <f>SUM($S$26:S50)</f>
        <v>0</v>
      </c>
    </row>
    <row r="50" spans="1:20" x14ac:dyDescent="0.2">
      <c r="A50" s="6"/>
      <c r="B50" s="7"/>
      <c r="C50" s="9" t="str">
        <f t="shared" si="1"/>
        <v/>
      </c>
      <c r="D50" s="25" t="str">
        <f t="shared" si="2"/>
        <v/>
      </c>
      <c r="E50" s="21" t="str">
        <f t="shared" si="3"/>
        <v/>
      </c>
      <c r="F50" s="21" t="str">
        <f t="shared" si="4"/>
        <v/>
      </c>
      <c r="G50" s="21"/>
      <c r="H50" s="21"/>
      <c r="J50" s="5"/>
      <c r="K50" s="29"/>
      <c r="M50" s="15">
        <f t="shared" si="5"/>
        <v>-215.9731870528725</v>
      </c>
      <c r="N50" s="15">
        <f t="shared" si="6"/>
        <v>215.9731870528725</v>
      </c>
      <c r="P50" s="9">
        <v>26</v>
      </c>
      <c r="Q50" s="20">
        <f t="shared" si="9"/>
        <v>0</v>
      </c>
      <c r="R50" s="20">
        <f t="shared" si="10"/>
        <v>0</v>
      </c>
      <c r="S50" s="5">
        <f t="shared" si="0"/>
        <v>0</v>
      </c>
      <c r="T50">
        <f>SUM($S$26:S51)</f>
        <v>0</v>
      </c>
    </row>
    <row r="51" spans="1:20" x14ac:dyDescent="0.2">
      <c r="A51" s="6"/>
      <c r="B51" s="7"/>
      <c r="C51" s="9" t="str">
        <f t="shared" si="1"/>
        <v/>
      </c>
      <c r="D51" s="25" t="str">
        <f t="shared" si="2"/>
        <v/>
      </c>
      <c r="E51" s="21" t="str">
        <f t="shared" si="3"/>
        <v/>
      </c>
      <c r="F51" s="21" t="str">
        <f t="shared" si="4"/>
        <v/>
      </c>
      <c r="G51" s="21"/>
      <c r="H51" s="21"/>
      <c r="J51" s="5"/>
      <c r="K51" s="29"/>
      <c r="M51" s="15">
        <f t="shared" si="5"/>
        <v>-215.9731870528725</v>
      </c>
      <c r="N51" s="15">
        <f t="shared" si="6"/>
        <v>215.9731870528725</v>
      </c>
      <c r="P51" s="9">
        <v>27</v>
      </c>
      <c r="Q51" s="20">
        <f t="shared" si="9"/>
        <v>0</v>
      </c>
      <c r="R51" s="20">
        <f t="shared" si="10"/>
        <v>0</v>
      </c>
      <c r="S51" s="5">
        <f t="shared" si="0"/>
        <v>0</v>
      </c>
      <c r="T51">
        <f>SUM($S$26:S52)</f>
        <v>0</v>
      </c>
    </row>
    <row r="52" spans="1:20" x14ac:dyDescent="0.2">
      <c r="A52" s="6"/>
      <c r="B52" s="7"/>
      <c r="C52" s="9" t="str">
        <f t="shared" si="1"/>
        <v/>
      </c>
      <c r="D52" s="25" t="str">
        <f t="shared" si="2"/>
        <v/>
      </c>
      <c r="E52" s="21" t="str">
        <f t="shared" si="3"/>
        <v/>
      </c>
      <c r="F52" s="21" t="str">
        <f t="shared" si="4"/>
        <v/>
      </c>
      <c r="G52" s="21"/>
      <c r="H52" s="21"/>
      <c r="J52" s="5"/>
      <c r="K52" s="29"/>
      <c r="M52" s="15">
        <f t="shared" si="5"/>
        <v>-215.9731870528725</v>
      </c>
      <c r="N52" s="15">
        <f t="shared" si="6"/>
        <v>215.9731870528725</v>
      </c>
      <c r="P52" s="9">
        <v>28</v>
      </c>
      <c r="Q52" s="20">
        <f t="shared" si="9"/>
        <v>0</v>
      </c>
      <c r="R52" s="20">
        <f t="shared" si="10"/>
        <v>0</v>
      </c>
      <c r="S52" s="5">
        <f t="shared" si="0"/>
        <v>0</v>
      </c>
      <c r="T52">
        <f>SUM($S$26:S53)</f>
        <v>0</v>
      </c>
    </row>
    <row r="53" spans="1:20" x14ac:dyDescent="0.2">
      <c r="A53" s="6"/>
      <c r="B53" s="7"/>
      <c r="C53" s="9" t="str">
        <f t="shared" si="1"/>
        <v/>
      </c>
      <c r="D53" s="25" t="str">
        <f t="shared" si="2"/>
        <v/>
      </c>
      <c r="E53" s="21" t="str">
        <f t="shared" si="3"/>
        <v/>
      </c>
      <c r="F53" s="21" t="str">
        <f t="shared" si="4"/>
        <v/>
      </c>
      <c r="G53" s="21"/>
      <c r="H53" s="21"/>
      <c r="J53" s="5"/>
      <c r="K53" s="29"/>
      <c r="M53" s="15">
        <f t="shared" si="5"/>
        <v>-215.9731870528725</v>
      </c>
      <c r="N53" s="15">
        <f t="shared" si="6"/>
        <v>215.9731870528725</v>
      </c>
      <c r="P53" s="9">
        <v>29</v>
      </c>
      <c r="Q53" s="20">
        <f t="shared" si="9"/>
        <v>0</v>
      </c>
      <c r="R53" s="20">
        <f t="shared" si="10"/>
        <v>0</v>
      </c>
      <c r="S53" s="5">
        <f t="shared" si="0"/>
        <v>0</v>
      </c>
      <c r="T53">
        <f>SUM($S$26:S54)</f>
        <v>0</v>
      </c>
    </row>
    <row r="54" spans="1:20" x14ac:dyDescent="0.2">
      <c r="A54" s="6"/>
      <c r="B54" s="7"/>
      <c r="C54" s="9" t="str">
        <f t="shared" si="1"/>
        <v/>
      </c>
      <c r="D54" s="25" t="str">
        <f t="shared" si="2"/>
        <v/>
      </c>
      <c r="E54" s="21" t="str">
        <f t="shared" si="3"/>
        <v/>
      </c>
      <c r="F54" s="21" t="str">
        <f t="shared" si="4"/>
        <v/>
      </c>
      <c r="G54" s="21"/>
      <c r="H54" s="21"/>
      <c r="J54" s="5"/>
      <c r="K54" s="29"/>
      <c r="M54" s="15">
        <f t="shared" si="5"/>
        <v>-215.9731870528725</v>
      </c>
      <c r="N54" s="15">
        <f t="shared" si="6"/>
        <v>215.9731870528725</v>
      </c>
      <c r="P54" s="9">
        <v>30</v>
      </c>
      <c r="Q54" s="20">
        <f t="shared" si="9"/>
        <v>0</v>
      </c>
      <c r="R54" s="20">
        <f t="shared" si="10"/>
        <v>0</v>
      </c>
      <c r="S54" s="5">
        <f t="shared" si="0"/>
        <v>0</v>
      </c>
      <c r="T54">
        <f>SUM($S$26:S55)</f>
        <v>0</v>
      </c>
    </row>
    <row r="55" spans="1:20" x14ac:dyDescent="0.2">
      <c r="A55" s="6"/>
      <c r="B55" s="7"/>
      <c r="C55" s="9" t="str">
        <f t="shared" si="1"/>
        <v/>
      </c>
      <c r="D55" s="25" t="str">
        <f t="shared" si="2"/>
        <v/>
      </c>
      <c r="E55" s="21" t="str">
        <f t="shared" si="3"/>
        <v/>
      </c>
      <c r="F55" s="21" t="str">
        <f t="shared" si="4"/>
        <v/>
      </c>
      <c r="G55" s="21"/>
      <c r="H55" s="21"/>
      <c r="J55" s="5"/>
      <c r="K55" s="29"/>
      <c r="M55" s="15">
        <f t="shared" si="5"/>
        <v>-215.9731870528725</v>
      </c>
      <c r="N55" s="15">
        <f t="shared" si="6"/>
        <v>215.9731870528725</v>
      </c>
      <c r="P55" s="9">
        <v>31</v>
      </c>
      <c r="Q55" s="20">
        <f t="shared" si="9"/>
        <v>0</v>
      </c>
      <c r="R55" s="20">
        <f t="shared" si="10"/>
        <v>0</v>
      </c>
      <c r="S55" s="5">
        <f t="shared" si="0"/>
        <v>0</v>
      </c>
      <c r="T55">
        <f>SUM($S$26:S56)</f>
        <v>0</v>
      </c>
    </row>
    <row r="56" spans="1:20" x14ac:dyDescent="0.2">
      <c r="A56" s="6"/>
      <c r="B56" s="7"/>
      <c r="C56" s="9" t="str">
        <f t="shared" si="1"/>
        <v/>
      </c>
      <c r="D56" s="25" t="str">
        <f t="shared" si="2"/>
        <v/>
      </c>
      <c r="E56" s="21" t="str">
        <f t="shared" si="3"/>
        <v/>
      </c>
      <c r="F56" s="21" t="str">
        <f t="shared" si="4"/>
        <v/>
      </c>
      <c r="G56" s="21"/>
      <c r="H56" s="21"/>
      <c r="J56" s="5"/>
      <c r="K56" s="29"/>
      <c r="M56" s="15">
        <f t="shared" si="5"/>
        <v>-215.9731870528725</v>
      </c>
      <c r="N56" s="15">
        <f t="shared" si="6"/>
        <v>215.9731870528725</v>
      </c>
      <c r="P56" s="9">
        <v>32</v>
      </c>
      <c r="Q56" s="20">
        <f t="shared" si="9"/>
        <v>0</v>
      </c>
      <c r="R56" s="20">
        <f t="shared" si="10"/>
        <v>0</v>
      </c>
      <c r="S56" s="5">
        <f t="shared" si="0"/>
        <v>0</v>
      </c>
      <c r="T56">
        <f>SUM($S$26:S57)</f>
        <v>0</v>
      </c>
    </row>
    <row r="57" spans="1:20" x14ac:dyDescent="0.2">
      <c r="A57" s="6"/>
      <c r="B57" s="7"/>
      <c r="C57" s="9" t="str">
        <f t="shared" si="1"/>
        <v/>
      </c>
      <c r="D57" s="25" t="str">
        <f t="shared" si="2"/>
        <v/>
      </c>
      <c r="E57" s="21" t="str">
        <f t="shared" si="3"/>
        <v/>
      </c>
      <c r="F57" s="21" t="str">
        <f t="shared" si="4"/>
        <v/>
      </c>
      <c r="G57" s="21"/>
      <c r="H57" s="21"/>
      <c r="J57" s="5"/>
      <c r="K57" s="29"/>
      <c r="M57" s="15">
        <f t="shared" si="5"/>
        <v>-215.9731870528725</v>
      </c>
      <c r="N57" s="15">
        <f t="shared" si="6"/>
        <v>215.9731870528725</v>
      </c>
      <c r="P57" s="9">
        <v>33</v>
      </c>
      <c r="Q57" s="20">
        <f t="shared" si="9"/>
        <v>0</v>
      </c>
      <c r="R57" s="20">
        <f t="shared" si="10"/>
        <v>0</v>
      </c>
      <c r="S57" s="5">
        <f t="shared" ref="S57:S88" si="11">IF(C57&gt;$C$15,0,IF(ABS(G57)&gt;=$I$3,1,0))</f>
        <v>0</v>
      </c>
      <c r="T57">
        <f>SUM($S$26:S58)</f>
        <v>0</v>
      </c>
    </row>
    <row r="58" spans="1:20" x14ac:dyDescent="0.2">
      <c r="A58" s="6"/>
      <c r="B58" s="7"/>
      <c r="C58" s="9" t="str">
        <f t="shared" si="1"/>
        <v/>
      </c>
      <c r="D58" s="25" t="str">
        <f t="shared" si="2"/>
        <v/>
      </c>
      <c r="E58" s="21" t="str">
        <f t="shared" si="3"/>
        <v/>
      </c>
      <c r="F58" s="21" t="str">
        <f t="shared" si="4"/>
        <v/>
      </c>
      <c r="G58" s="21"/>
      <c r="H58" s="21"/>
      <c r="J58" s="5"/>
      <c r="K58" s="29"/>
      <c r="M58" s="15">
        <f t="shared" si="5"/>
        <v>-215.9731870528725</v>
      </c>
      <c r="N58" s="15">
        <f t="shared" si="6"/>
        <v>215.9731870528725</v>
      </c>
      <c r="P58" s="9">
        <v>34</v>
      </c>
      <c r="Q58" s="20">
        <f t="shared" si="9"/>
        <v>0</v>
      </c>
      <c r="R58" s="20">
        <f t="shared" si="10"/>
        <v>0</v>
      </c>
      <c r="S58" s="5">
        <f t="shared" si="11"/>
        <v>0</v>
      </c>
      <c r="T58">
        <f>SUM($S$26:S59)</f>
        <v>0</v>
      </c>
    </row>
    <row r="59" spans="1:20" x14ac:dyDescent="0.2">
      <c r="A59" s="6"/>
      <c r="B59" s="7"/>
      <c r="C59" s="9" t="str">
        <f t="shared" si="1"/>
        <v/>
      </c>
      <c r="D59" s="25" t="str">
        <f t="shared" si="2"/>
        <v/>
      </c>
      <c r="E59" s="21" t="str">
        <f t="shared" si="3"/>
        <v/>
      </c>
      <c r="F59" s="21" t="str">
        <f t="shared" si="4"/>
        <v/>
      </c>
      <c r="G59" s="21"/>
      <c r="H59" s="21"/>
      <c r="J59" s="5"/>
      <c r="K59" s="29"/>
      <c r="M59" s="15">
        <f t="shared" si="5"/>
        <v>-215.9731870528725</v>
      </c>
      <c r="N59" s="15">
        <f t="shared" si="6"/>
        <v>215.9731870528725</v>
      </c>
      <c r="P59" s="9">
        <v>35</v>
      </c>
      <c r="Q59" s="20">
        <f t="shared" si="9"/>
        <v>0</v>
      </c>
      <c r="R59" s="20">
        <f t="shared" si="10"/>
        <v>0</v>
      </c>
      <c r="S59" s="5">
        <f t="shared" si="11"/>
        <v>0</v>
      </c>
      <c r="T59">
        <f>SUM($S$26:S60)</f>
        <v>0</v>
      </c>
    </row>
    <row r="60" spans="1:20" x14ac:dyDescent="0.2">
      <c r="A60" s="6"/>
      <c r="B60" s="7"/>
      <c r="C60" s="9" t="str">
        <f t="shared" si="1"/>
        <v/>
      </c>
      <c r="D60" s="25" t="str">
        <f t="shared" si="2"/>
        <v/>
      </c>
      <c r="E60" s="21" t="str">
        <f t="shared" si="3"/>
        <v/>
      </c>
      <c r="F60" s="21" t="str">
        <f t="shared" si="4"/>
        <v/>
      </c>
      <c r="G60" s="21"/>
      <c r="H60" s="21"/>
      <c r="J60" s="5"/>
      <c r="K60" s="29"/>
      <c r="M60" s="15">
        <f t="shared" si="5"/>
        <v>-215.9731870528725</v>
      </c>
      <c r="N60" s="15">
        <f t="shared" si="6"/>
        <v>215.9731870528725</v>
      </c>
      <c r="P60" s="9">
        <v>36</v>
      </c>
      <c r="Q60" s="20">
        <f t="shared" si="9"/>
        <v>0</v>
      </c>
      <c r="R60" s="20">
        <f t="shared" si="10"/>
        <v>0</v>
      </c>
      <c r="S60" s="5">
        <f t="shared" si="11"/>
        <v>0</v>
      </c>
      <c r="T60">
        <f>SUM($S$26:S61)</f>
        <v>0</v>
      </c>
    </row>
    <row r="61" spans="1:20" x14ac:dyDescent="0.2">
      <c r="A61" s="6"/>
      <c r="B61" s="7"/>
      <c r="C61" s="9" t="str">
        <f t="shared" si="1"/>
        <v/>
      </c>
      <c r="D61" s="25" t="str">
        <f t="shared" si="2"/>
        <v/>
      </c>
      <c r="E61" s="21" t="str">
        <f t="shared" si="3"/>
        <v/>
      </c>
      <c r="F61" s="21" t="str">
        <f t="shared" si="4"/>
        <v/>
      </c>
      <c r="G61" s="21"/>
      <c r="H61" s="21"/>
      <c r="J61" s="5"/>
      <c r="K61" s="29"/>
      <c r="M61" s="15">
        <f t="shared" si="5"/>
        <v>-215.9731870528725</v>
      </c>
      <c r="N61" s="15">
        <f t="shared" si="6"/>
        <v>215.9731870528725</v>
      </c>
      <c r="P61" s="9">
        <v>37</v>
      </c>
      <c r="Q61" s="20">
        <f t="shared" si="9"/>
        <v>0</v>
      </c>
      <c r="R61" s="20">
        <f t="shared" si="10"/>
        <v>0</v>
      </c>
      <c r="S61" s="5">
        <f t="shared" si="11"/>
        <v>0</v>
      </c>
      <c r="T61">
        <f>SUM($S$26:S62)</f>
        <v>0</v>
      </c>
    </row>
    <row r="62" spans="1:20" x14ac:dyDescent="0.2">
      <c r="A62" s="6"/>
      <c r="B62" s="7"/>
      <c r="C62" s="9" t="str">
        <f t="shared" si="1"/>
        <v/>
      </c>
      <c r="D62" s="25" t="str">
        <f t="shared" si="2"/>
        <v/>
      </c>
      <c r="E62" s="21" t="str">
        <f t="shared" si="3"/>
        <v/>
      </c>
      <c r="F62" s="21" t="str">
        <f t="shared" si="4"/>
        <v/>
      </c>
      <c r="G62" s="21"/>
      <c r="H62" s="21"/>
      <c r="J62" s="5"/>
      <c r="K62" s="29"/>
      <c r="M62" s="15">
        <f t="shared" si="5"/>
        <v>-215.9731870528725</v>
      </c>
      <c r="N62" s="15">
        <f t="shared" si="6"/>
        <v>215.9731870528725</v>
      </c>
      <c r="P62" s="9">
        <v>38</v>
      </c>
      <c r="Q62" s="20">
        <f t="shared" si="9"/>
        <v>0</v>
      </c>
      <c r="R62" s="20">
        <f t="shared" si="10"/>
        <v>0</v>
      </c>
      <c r="S62" s="5">
        <f t="shared" si="11"/>
        <v>0</v>
      </c>
      <c r="T62">
        <f>SUM($S$26:S63)</f>
        <v>0</v>
      </c>
    </row>
    <row r="63" spans="1:20" x14ac:dyDescent="0.2">
      <c r="A63" s="6"/>
      <c r="B63" s="7"/>
      <c r="C63" s="9" t="str">
        <f>IF(A63="","",A63)</f>
        <v/>
      </c>
      <c r="D63" s="25" t="str">
        <f t="shared" si="2"/>
        <v/>
      </c>
      <c r="E63" s="21" t="str">
        <f t="shared" si="3"/>
        <v/>
      </c>
      <c r="F63" s="21" t="str">
        <f t="shared" si="4"/>
        <v/>
      </c>
      <c r="G63" s="21"/>
      <c r="H63" s="21"/>
      <c r="J63" s="5"/>
      <c r="K63" s="29"/>
      <c r="M63" s="15">
        <f t="shared" si="5"/>
        <v>-215.9731870528725</v>
      </c>
      <c r="N63" s="15">
        <f t="shared" si="6"/>
        <v>215.9731870528725</v>
      </c>
      <c r="P63" s="9">
        <v>39</v>
      </c>
      <c r="Q63" s="20">
        <f t="shared" si="9"/>
        <v>0</v>
      </c>
      <c r="R63" s="20">
        <f t="shared" si="10"/>
        <v>0</v>
      </c>
      <c r="S63" s="5">
        <f t="shared" si="11"/>
        <v>0</v>
      </c>
      <c r="T63">
        <f>SUM($S$26:S64)</f>
        <v>0</v>
      </c>
    </row>
    <row r="64" spans="1:20" x14ac:dyDescent="0.2">
      <c r="A64" s="6"/>
      <c r="B64" s="7"/>
      <c r="C64" s="9" t="str">
        <f t="shared" si="1"/>
        <v/>
      </c>
      <c r="D64" s="25" t="str">
        <f t="shared" si="2"/>
        <v/>
      </c>
      <c r="E64" s="21" t="str">
        <f t="shared" si="3"/>
        <v/>
      </c>
      <c r="F64" s="21" t="str">
        <f t="shared" si="4"/>
        <v/>
      </c>
      <c r="G64" s="21"/>
      <c r="H64" s="21"/>
      <c r="J64" s="5"/>
      <c r="K64" s="29"/>
      <c r="M64" s="15">
        <f t="shared" si="5"/>
        <v>-215.9731870528725</v>
      </c>
      <c r="N64" s="15">
        <f t="shared" si="6"/>
        <v>215.9731870528725</v>
      </c>
      <c r="P64" s="9">
        <v>40</v>
      </c>
      <c r="Q64" s="20">
        <f t="shared" si="9"/>
        <v>0</v>
      </c>
      <c r="R64" s="20">
        <f t="shared" si="10"/>
        <v>0</v>
      </c>
      <c r="S64" s="5">
        <f t="shared" si="11"/>
        <v>0</v>
      </c>
      <c r="T64">
        <f>SUM($S$26:S65)</f>
        <v>0</v>
      </c>
    </row>
    <row r="65" spans="1:20" x14ac:dyDescent="0.2">
      <c r="A65" s="6"/>
      <c r="B65" s="7"/>
      <c r="C65" s="9" t="str">
        <f t="shared" si="1"/>
        <v/>
      </c>
      <c r="D65" s="25" t="str">
        <f t="shared" si="2"/>
        <v/>
      </c>
      <c r="E65" s="21" t="str">
        <f t="shared" si="3"/>
        <v/>
      </c>
      <c r="F65" s="21" t="str">
        <f t="shared" si="4"/>
        <v/>
      </c>
      <c r="G65" s="21"/>
      <c r="H65" s="21"/>
      <c r="J65" s="5"/>
      <c r="K65" s="29"/>
      <c r="M65" s="15">
        <f t="shared" si="5"/>
        <v>-215.9731870528725</v>
      </c>
      <c r="N65" s="15">
        <f t="shared" si="6"/>
        <v>215.9731870528725</v>
      </c>
      <c r="P65" s="9">
        <v>41</v>
      </c>
      <c r="Q65" s="20">
        <f t="shared" si="9"/>
        <v>0</v>
      </c>
      <c r="R65" s="20">
        <f t="shared" si="10"/>
        <v>0</v>
      </c>
      <c r="S65" s="5">
        <f t="shared" si="11"/>
        <v>0</v>
      </c>
      <c r="T65">
        <f>SUM($S$26:S66)</f>
        <v>0</v>
      </c>
    </row>
    <row r="66" spans="1:20" x14ac:dyDescent="0.2">
      <c r="A66" s="6"/>
      <c r="B66" s="7"/>
      <c r="C66" s="9" t="str">
        <f t="shared" si="1"/>
        <v/>
      </c>
      <c r="D66" s="25" t="str">
        <f t="shared" si="2"/>
        <v/>
      </c>
      <c r="E66" s="21" t="str">
        <f t="shared" si="3"/>
        <v/>
      </c>
      <c r="F66" s="21" t="str">
        <f t="shared" si="4"/>
        <v/>
      </c>
      <c r="G66" s="21"/>
      <c r="H66" s="21"/>
      <c r="J66" s="5"/>
      <c r="K66" s="29"/>
      <c r="M66" s="15">
        <f t="shared" si="5"/>
        <v>-215.9731870528725</v>
      </c>
      <c r="N66" s="15">
        <f t="shared" si="6"/>
        <v>215.9731870528725</v>
      </c>
      <c r="P66" s="9">
        <v>42</v>
      </c>
      <c r="Q66" s="20">
        <f t="shared" si="9"/>
        <v>0</v>
      </c>
      <c r="R66" s="20">
        <f t="shared" si="10"/>
        <v>0</v>
      </c>
      <c r="S66" s="5">
        <f t="shared" si="11"/>
        <v>0</v>
      </c>
      <c r="T66">
        <f>SUM($S$26:S67)</f>
        <v>0</v>
      </c>
    </row>
    <row r="67" spans="1:20" x14ac:dyDescent="0.2">
      <c r="A67" s="6"/>
      <c r="B67" s="7"/>
      <c r="C67" s="9" t="str">
        <f t="shared" si="1"/>
        <v/>
      </c>
      <c r="D67" s="25" t="str">
        <f t="shared" si="2"/>
        <v/>
      </c>
      <c r="E67" s="21" t="str">
        <f t="shared" si="3"/>
        <v/>
      </c>
      <c r="F67" s="21" t="str">
        <f t="shared" si="4"/>
        <v/>
      </c>
      <c r="G67" s="21"/>
      <c r="H67" s="21"/>
      <c r="J67" s="5"/>
      <c r="K67" s="29"/>
      <c r="M67" s="15">
        <f t="shared" si="5"/>
        <v>-215.9731870528725</v>
      </c>
      <c r="N67" s="15">
        <f t="shared" si="6"/>
        <v>215.9731870528725</v>
      </c>
      <c r="P67" s="9">
        <v>43</v>
      </c>
      <c r="Q67" s="20">
        <f t="shared" si="9"/>
        <v>0</v>
      </c>
      <c r="R67" s="20">
        <f t="shared" si="10"/>
        <v>0</v>
      </c>
      <c r="S67" s="5">
        <f t="shared" si="11"/>
        <v>0</v>
      </c>
      <c r="T67">
        <f>SUM($S$26:S68)</f>
        <v>0</v>
      </c>
    </row>
    <row r="68" spans="1:20" x14ac:dyDescent="0.2">
      <c r="A68" s="6"/>
      <c r="B68" s="7"/>
      <c r="C68" s="9" t="str">
        <f t="shared" si="1"/>
        <v/>
      </c>
      <c r="D68" s="25" t="str">
        <f t="shared" si="2"/>
        <v/>
      </c>
      <c r="E68" s="21" t="str">
        <f t="shared" si="3"/>
        <v/>
      </c>
      <c r="F68" s="21" t="str">
        <f t="shared" si="4"/>
        <v/>
      </c>
      <c r="G68" s="21"/>
      <c r="H68" s="21"/>
      <c r="J68" s="5"/>
      <c r="K68" s="29"/>
      <c r="M68" s="15">
        <f t="shared" si="5"/>
        <v>-215.9731870528725</v>
      </c>
      <c r="N68" s="15">
        <f t="shared" si="6"/>
        <v>215.9731870528725</v>
      </c>
      <c r="P68" s="9">
        <v>44</v>
      </c>
      <c r="Q68" s="20">
        <f t="shared" si="9"/>
        <v>0</v>
      </c>
      <c r="R68" s="20">
        <f t="shared" si="10"/>
        <v>0</v>
      </c>
      <c r="S68" s="5">
        <f t="shared" si="11"/>
        <v>0</v>
      </c>
      <c r="T68">
        <f>SUM($S$26:S69)</f>
        <v>0</v>
      </c>
    </row>
    <row r="69" spans="1:20" x14ac:dyDescent="0.2">
      <c r="A69" s="6"/>
      <c r="B69" s="7"/>
      <c r="C69" s="9" t="str">
        <f t="shared" si="1"/>
        <v/>
      </c>
      <c r="D69" s="25" t="str">
        <f t="shared" si="2"/>
        <v/>
      </c>
      <c r="E69" s="21" t="str">
        <f t="shared" si="3"/>
        <v/>
      </c>
      <c r="F69" s="21" t="str">
        <f t="shared" si="4"/>
        <v/>
      </c>
      <c r="G69" s="21"/>
      <c r="H69" s="21"/>
      <c r="J69" s="5"/>
      <c r="K69" s="29"/>
      <c r="M69" s="15">
        <f t="shared" si="5"/>
        <v>-215.9731870528725</v>
      </c>
      <c r="N69" s="15">
        <f t="shared" si="6"/>
        <v>215.9731870528725</v>
      </c>
      <c r="P69" s="9">
        <v>45</v>
      </c>
      <c r="Q69" s="20">
        <f t="shared" si="9"/>
        <v>0</v>
      </c>
      <c r="R69" s="20">
        <f t="shared" si="10"/>
        <v>0</v>
      </c>
      <c r="S69" s="5">
        <f t="shared" si="11"/>
        <v>0</v>
      </c>
      <c r="T69">
        <f>SUM($S$26:S70)</f>
        <v>0</v>
      </c>
    </row>
    <row r="70" spans="1:20" x14ac:dyDescent="0.2">
      <c r="A70" s="6"/>
      <c r="B70" s="7"/>
      <c r="C70" s="9" t="str">
        <f t="shared" si="1"/>
        <v/>
      </c>
      <c r="D70" s="25" t="str">
        <f t="shared" si="2"/>
        <v/>
      </c>
      <c r="E70" s="21" t="str">
        <f t="shared" si="3"/>
        <v/>
      </c>
      <c r="F70" s="21" t="str">
        <f t="shared" si="4"/>
        <v/>
      </c>
      <c r="G70" s="21"/>
      <c r="H70" s="21"/>
      <c r="J70" s="5"/>
      <c r="K70" s="29"/>
      <c r="M70" s="15">
        <f t="shared" si="5"/>
        <v>-215.9731870528725</v>
      </c>
      <c r="N70" s="15">
        <f t="shared" si="6"/>
        <v>215.9731870528725</v>
      </c>
      <c r="P70" s="9">
        <v>46</v>
      </c>
      <c r="Q70" s="20">
        <f t="shared" si="9"/>
        <v>0</v>
      </c>
      <c r="R70" s="20">
        <f t="shared" si="10"/>
        <v>0</v>
      </c>
      <c r="S70" s="5">
        <f t="shared" si="11"/>
        <v>0</v>
      </c>
      <c r="T70">
        <f>SUM($S$26:S71)</f>
        <v>0</v>
      </c>
    </row>
    <row r="71" spans="1:20" x14ac:dyDescent="0.2">
      <c r="A71" s="6"/>
      <c r="B71" s="7"/>
      <c r="C71" s="9" t="str">
        <f t="shared" si="1"/>
        <v/>
      </c>
      <c r="D71" s="25" t="str">
        <f t="shared" si="2"/>
        <v/>
      </c>
      <c r="E71" s="21" t="str">
        <f t="shared" si="3"/>
        <v/>
      </c>
      <c r="F71" s="21" t="str">
        <f t="shared" si="4"/>
        <v/>
      </c>
      <c r="G71" s="21"/>
      <c r="H71" s="21"/>
      <c r="J71" s="5"/>
      <c r="K71" s="29"/>
      <c r="M71" s="15">
        <f t="shared" si="5"/>
        <v>-215.9731870528725</v>
      </c>
      <c r="N71" s="15">
        <f t="shared" si="6"/>
        <v>215.9731870528725</v>
      </c>
      <c r="P71" s="9">
        <v>47</v>
      </c>
      <c r="Q71" s="20">
        <f t="shared" si="9"/>
        <v>0</v>
      </c>
      <c r="R71" s="20">
        <f t="shared" si="10"/>
        <v>0</v>
      </c>
      <c r="S71" s="5">
        <f t="shared" si="11"/>
        <v>0</v>
      </c>
      <c r="T71">
        <f>SUM($S$26:S72)</f>
        <v>0</v>
      </c>
    </row>
    <row r="72" spans="1:20" x14ac:dyDescent="0.2">
      <c r="A72" s="6"/>
      <c r="B72" s="7"/>
      <c r="C72" s="9" t="str">
        <f t="shared" si="1"/>
        <v/>
      </c>
      <c r="D72" s="25" t="str">
        <f t="shared" si="2"/>
        <v/>
      </c>
      <c r="E72" s="21" t="str">
        <f t="shared" si="3"/>
        <v/>
      </c>
      <c r="F72" s="21" t="str">
        <f t="shared" si="4"/>
        <v/>
      </c>
      <c r="G72" s="21"/>
      <c r="H72" s="21"/>
      <c r="J72" s="5"/>
      <c r="K72" s="29"/>
      <c r="M72" s="15">
        <f t="shared" si="5"/>
        <v>-215.9731870528725</v>
      </c>
      <c r="N72" s="15">
        <f t="shared" si="6"/>
        <v>215.9731870528725</v>
      </c>
      <c r="P72" s="9">
        <v>48</v>
      </c>
      <c r="Q72" s="20">
        <f t="shared" si="9"/>
        <v>0</v>
      </c>
      <c r="R72" s="20">
        <f t="shared" si="10"/>
        <v>0</v>
      </c>
      <c r="S72" s="5">
        <f t="shared" si="11"/>
        <v>0</v>
      </c>
      <c r="T72">
        <f>SUM($S$26:S73)</f>
        <v>0</v>
      </c>
    </row>
    <row r="73" spans="1:20" x14ac:dyDescent="0.2">
      <c r="A73" s="6"/>
      <c r="B73" s="7"/>
      <c r="C73" s="9" t="str">
        <f t="shared" si="1"/>
        <v/>
      </c>
      <c r="D73" s="25" t="str">
        <f t="shared" si="2"/>
        <v/>
      </c>
      <c r="E73" s="21" t="str">
        <f t="shared" si="3"/>
        <v/>
      </c>
      <c r="F73" s="21" t="str">
        <f t="shared" si="4"/>
        <v/>
      </c>
      <c r="G73" s="21"/>
      <c r="H73" s="21"/>
      <c r="J73" s="5"/>
      <c r="K73" s="29"/>
      <c r="M73" s="15">
        <f t="shared" si="5"/>
        <v>-215.9731870528725</v>
      </c>
      <c r="N73" s="15">
        <f t="shared" si="6"/>
        <v>215.9731870528725</v>
      </c>
      <c r="P73" s="9">
        <v>49</v>
      </c>
      <c r="Q73" s="20">
        <f t="shared" si="9"/>
        <v>0</v>
      </c>
      <c r="R73" s="20">
        <f t="shared" si="10"/>
        <v>0</v>
      </c>
      <c r="S73" s="5">
        <f t="shared" si="11"/>
        <v>0</v>
      </c>
      <c r="T73">
        <f>SUM($S$26:S74)</f>
        <v>0</v>
      </c>
    </row>
    <row r="74" spans="1:20" x14ac:dyDescent="0.2">
      <c r="A74" s="6"/>
      <c r="B74" s="7"/>
      <c r="C74" s="9" t="str">
        <f t="shared" si="1"/>
        <v/>
      </c>
      <c r="D74" s="25" t="str">
        <f t="shared" si="2"/>
        <v/>
      </c>
      <c r="E74" s="21" t="str">
        <f t="shared" si="3"/>
        <v/>
      </c>
      <c r="F74" s="21" t="str">
        <f t="shared" si="4"/>
        <v/>
      </c>
      <c r="G74" s="21"/>
      <c r="H74" s="21"/>
      <c r="J74" s="5"/>
      <c r="K74" s="29"/>
      <c r="M74" s="15">
        <f t="shared" si="5"/>
        <v>-215.9731870528725</v>
      </c>
      <c r="N74" s="15">
        <f t="shared" si="6"/>
        <v>215.9731870528725</v>
      </c>
      <c r="P74" s="9">
        <v>50</v>
      </c>
      <c r="Q74" s="20">
        <f t="shared" si="9"/>
        <v>0</v>
      </c>
      <c r="R74" s="20">
        <f t="shared" si="10"/>
        <v>0</v>
      </c>
      <c r="S74" s="5">
        <f t="shared" si="11"/>
        <v>0</v>
      </c>
      <c r="T74">
        <f>SUM($S$26:S75)</f>
        <v>0</v>
      </c>
    </row>
    <row r="75" spans="1:20" x14ac:dyDescent="0.2">
      <c r="A75" s="6"/>
      <c r="B75" s="7"/>
      <c r="C75" s="9" t="str">
        <f t="shared" si="1"/>
        <v/>
      </c>
      <c r="D75" s="25" t="str">
        <f t="shared" si="2"/>
        <v/>
      </c>
      <c r="E75" s="21" t="str">
        <f t="shared" si="3"/>
        <v/>
      </c>
      <c r="F75" s="21" t="str">
        <f t="shared" si="4"/>
        <v/>
      </c>
      <c r="G75" s="21"/>
      <c r="H75" s="21"/>
      <c r="J75" s="5"/>
      <c r="K75" s="29"/>
      <c r="M75" s="15">
        <f t="shared" si="5"/>
        <v>-215.9731870528725</v>
      </c>
      <c r="N75" s="15">
        <f t="shared" si="6"/>
        <v>215.9731870528725</v>
      </c>
      <c r="P75" s="9">
        <v>51</v>
      </c>
      <c r="Q75" s="20">
        <f t="shared" si="9"/>
        <v>0</v>
      </c>
      <c r="R75" s="20">
        <f t="shared" si="10"/>
        <v>0</v>
      </c>
      <c r="S75" s="5">
        <f t="shared" si="11"/>
        <v>0</v>
      </c>
      <c r="T75">
        <f>SUM($S$26:S76)</f>
        <v>0</v>
      </c>
    </row>
    <row r="76" spans="1:20" x14ac:dyDescent="0.2">
      <c r="A76" s="6"/>
      <c r="B76" s="7"/>
      <c r="C76" s="9" t="str">
        <f t="shared" si="1"/>
        <v/>
      </c>
      <c r="D76" s="25" t="str">
        <f t="shared" si="2"/>
        <v/>
      </c>
      <c r="E76" s="21" t="str">
        <f t="shared" si="3"/>
        <v/>
      </c>
      <c r="F76" s="21" t="str">
        <f t="shared" si="4"/>
        <v/>
      </c>
      <c r="G76" s="21"/>
      <c r="H76" s="21"/>
      <c r="J76" s="5"/>
      <c r="K76" s="29"/>
      <c r="M76" s="15">
        <f t="shared" si="5"/>
        <v>-215.9731870528725</v>
      </c>
      <c r="N76" s="15">
        <f t="shared" si="6"/>
        <v>215.9731870528725</v>
      </c>
      <c r="P76" s="9">
        <v>52</v>
      </c>
      <c r="Q76" s="20">
        <f t="shared" si="9"/>
        <v>0</v>
      </c>
      <c r="R76" s="20">
        <f t="shared" si="10"/>
        <v>0</v>
      </c>
      <c r="S76" s="5">
        <f t="shared" si="11"/>
        <v>0</v>
      </c>
      <c r="T76">
        <f>SUM($S$26:S77)</f>
        <v>0</v>
      </c>
    </row>
    <row r="77" spans="1:20" x14ac:dyDescent="0.2">
      <c r="A77" s="6"/>
      <c r="B77" s="7"/>
      <c r="C77" s="9" t="str">
        <f t="shared" si="1"/>
        <v/>
      </c>
      <c r="D77" s="25" t="str">
        <f t="shared" si="2"/>
        <v/>
      </c>
      <c r="E77" s="21" t="str">
        <f t="shared" si="3"/>
        <v/>
      </c>
      <c r="F77" s="21" t="str">
        <f t="shared" si="4"/>
        <v/>
      </c>
      <c r="G77" s="21"/>
      <c r="H77" s="21"/>
      <c r="J77" s="5"/>
      <c r="K77" s="29"/>
      <c r="M77" s="15">
        <f t="shared" si="5"/>
        <v>-215.9731870528725</v>
      </c>
      <c r="N77" s="15">
        <f t="shared" si="6"/>
        <v>215.9731870528725</v>
      </c>
      <c r="P77" s="9">
        <v>53</v>
      </c>
      <c r="Q77" s="20">
        <f t="shared" si="9"/>
        <v>0</v>
      </c>
      <c r="R77" s="20">
        <f t="shared" si="10"/>
        <v>0</v>
      </c>
      <c r="S77" s="5">
        <f t="shared" si="11"/>
        <v>0</v>
      </c>
      <c r="T77">
        <f>SUM($S$26:S78)</f>
        <v>0</v>
      </c>
    </row>
    <row r="78" spans="1:20" x14ac:dyDescent="0.2">
      <c r="A78" s="6"/>
      <c r="B78" s="7"/>
      <c r="C78" s="9" t="str">
        <f t="shared" si="1"/>
        <v/>
      </c>
      <c r="D78" s="25" t="str">
        <f t="shared" si="2"/>
        <v/>
      </c>
      <c r="E78" s="21" t="str">
        <f t="shared" si="3"/>
        <v/>
      </c>
      <c r="F78" s="21" t="str">
        <f t="shared" si="4"/>
        <v/>
      </c>
      <c r="G78" s="21"/>
      <c r="H78" s="21"/>
      <c r="J78" s="5"/>
      <c r="K78" s="29"/>
      <c r="M78" s="15">
        <f t="shared" si="5"/>
        <v>-215.9731870528725</v>
      </c>
      <c r="N78" s="15">
        <f t="shared" si="6"/>
        <v>215.9731870528725</v>
      </c>
      <c r="P78" s="9">
        <v>54</v>
      </c>
      <c r="Q78" s="20">
        <f t="shared" si="9"/>
        <v>0</v>
      </c>
      <c r="R78" s="20">
        <f t="shared" si="10"/>
        <v>0</v>
      </c>
      <c r="S78" s="5">
        <f t="shared" si="11"/>
        <v>0</v>
      </c>
      <c r="T78">
        <f>SUM($S$26:S79)</f>
        <v>0</v>
      </c>
    </row>
    <row r="79" spans="1:20" x14ac:dyDescent="0.2">
      <c r="A79" s="6"/>
      <c r="B79" s="7"/>
      <c r="C79" s="9" t="str">
        <f t="shared" si="1"/>
        <v/>
      </c>
      <c r="D79" s="25" t="str">
        <f t="shared" si="2"/>
        <v/>
      </c>
      <c r="E79" s="21" t="str">
        <f t="shared" si="3"/>
        <v/>
      </c>
      <c r="F79" s="21" t="str">
        <f t="shared" si="4"/>
        <v/>
      </c>
      <c r="G79" s="21"/>
      <c r="H79" s="21"/>
      <c r="J79" s="5"/>
      <c r="K79" s="29"/>
      <c r="M79" s="15">
        <f t="shared" si="5"/>
        <v>-215.9731870528725</v>
      </c>
      <c r="N79" s="15">
        <f t="shared" si="6"/>
        <v>215.9731870528725</v>
      </c>
      <c r="P79" s="9">
        <v>55</v>
      </c>
      <c r="Q79" s="20">
        <f t="shared" si="9"/>
        <v>0</v>
      </c>
      <c r="R79" s="20">
        <f t="shared" si="10"/>
        <v>0</v>
      </c>
      <c r="S79" s="5">
        <f t="shared" si="11"/>
        <v>0</v>
      </c>
      <c r="T79">
        <f>SUM($S$26:S80)</f>
        <v>0</v>
      </c>
    </row>
    <row r="80" spans="1:20" x14ac:dyDescent="0.2">
      <c r="A80" s="6"/>
      <c r="B80" s="7"/>
      <c r="C80" s="9" t="str">
        <f t="shared" si="1"/>
        <v/>
      </c>
      <c r="D80" s="25" t="str">
        <f t="shared" si="2"/>
        <v/>
      </c>
      <c r="E80" s="21" t="str">
        <f t="shared" si="3"/>
        <v/>
      </c>
      <c r="F80" s="21" t="str">
        <f t="shared" si="4"/>
        <v/>
      </c>
      <c r="G80" s="21"/>
      <c r="H80" s="21"/>
      <c r="J80" s="5"/>
      <c r="K80" s="29"/>
      <c r="M80" s="15">
        <f t="shared" si="5"/>
        <v>-215.9731870528725</v>
      </c>
      <c r="N80" s="15">
        <f t="shared" si="6"/>
        <v>215.9731870528725</v>
      </c>
      <c r="P80" s="9">
        <v>56</v>
      </c>
      <c r="Q80" s="20">
        <f t="shared" si="9"/>
        <v>0</v>
      </c>
      <c r="R80" s="20">
        <f t="shared" si="10"/>
        <v>0</v>
      </c>
      <c r="S80" s="5">
        <f t="shared" si="11"/>
        <v>0</v>
      </c>
      <c r="T80">
        <f>SUM($S$26:S81)</f>
        <v>0</v>
      </c>
    </row>
    <row r="81" spans="1:20" x14ac:dyDescent="0.2">
      <c r="A81" s="6"/>
      <c r="B81" s="7"/>
      <c r="C81" s="9" t="str">
        <f>IF(A81="","",A81)</f>
        <v/>
      </c>
      <c r="D81" s="25" t="str">
        <f t="shared" si="2"/>
        <v/>
      </c>
      <c r="E81" s="21" t="str">
        <f t="shared" si="3"/>
        <v/>
      </c>
      <c r="F81" s="21" t="str">
        <f t="shared" si="4"/>
        <v/>
      </c>
      <c r="G81" s="21"/>
      <c r="H81" s="21"/>
      <c r="J81" s="5"/>
      <c r="K81" s="29"/>
      <c r="M81" s="15">
        <f t="shared" si="5"/>
        <v>-215.9731870528725</v>
      </c>
      <c r="N81" s="15">
        <f t="shared" si="6"/>
        <v>215.9731870528725</v>
      </c>
      <c r="P81" s="9">
        <v>57</v>
      </c>
      <c r="Q81" s="20">
        <f t="shared" si="9"/>
        <v>0</v>
      </c>
      <c r="R81" s="20">
        <f t="shared" si="10"/>
        <v>0</v>
      </c>
      <c r="S81" s="5">
        <f t="shared" si="11"/>
        <v>0</v>
      </c>
      <c r="T81">
        <f>SUM($S$26:S82)</f>
        <v>0</v>
      </c>
    </row>
    <row r="82" spans="1:20" x14ac:dyDescent="0.2">
      <c r="A82" s="6"/>
      <c r="B82" s="7"/>
      <c r="C82" s="9" t="str">
        <f t="shared" si="1"/>
        <v/>
      </c>
      <c r="D82" s="25" t="str">
        <f t="shared" si="2"/>
        <v/>
      </c>
      <c r="E82" s="21" t="str">
        <f t="shared" si="3"/>
        <v/>
      </c>
      <c r="F82" s="21" t="str">
        <f t="shared" si="4"/>
        <v/>
      </c>
      <c r="G82" s="21"/>
      <c r="H82" s="21"/>
      <c r="J82" s="5"/>
      <c r="K82" s="29"/>
      <c r="M82" s="15">
        <f t="shared" si="5"/>
        <v>-215.9731870528725</v>
      </c>
      <c r="N82" s="15">
        <f t="shared" si="6"/>
        <v>215.9731870528725</v>
      </c>
      <c r="P82" s="9">
        <v>58</v>
      </c>
      <c r="Q82" s="20">
        <f t="shared" si="9"/>
        <v>0</v>
      </c>
      <c r="R82" s="20">
        <f t="shared" si="10"/>
        <v>0</v>
      </c>
      <c r="S82" s="5">
        <f t="shared" si="11"/>
        <v>0</v>
      </c>
      <c r="T82">
        <f>SUM($S$26:S83)</f>
        <v>0</v>
      </c>
    </row>
    <row r="83" spans="1:20" x14ac:dyDescent="0.2">
      <c r="A83" s="6"/>
      <c r="B83" s="7"/>
      <c r="C83" s="9" t="str">
        <f t="shared" si="1"/>
        <v/>
      </c>
      <c r="D83" s="25" t="str">
        <f t="shared" si="2"/>
        <v/>
      </c>
      <c r="E83" s="21" t="str">
        <f t="shared" si="3"/>
        <v/>
      </c>
      <c r="F83" s="21" t="str">
        <f t="shared" si="4"/>
        <v/>
      </c>
      <c r="G83" s="21"/>
      <c r="H83" s="21"/>
      <c r="J83" s="5"/>
      <c r="K83" s="29"/>
      <c r="M83" s="15">
        <f t="shared" si="5"/>
        <v>-215.9731870528725</v>
      </c>
      <c r="N83" s="15">
        <f t="shared" si="6"/>
        <v>215.9731870528725</v>
      </c>
      <c r="P83" s="9">
        <v>59</v>
      </c>
      <c r="Q83" s="20">
        <f t="shared" si="9"/>
        <v>0</v>
      </c>
      <c r="R83" s="20">
        <f t="shared" si="10"/>
        <v>0</v>
      </c>
      <c r="S83" s="5">
        <f t="shared" si="11"/>
        <v>0</v>
      </c>
      <c r="T83">
        <f>SUM($S$26:S84)</f>
        <v>0</v>
      </c>
    </row>
    <row r="84" spans="1:20" x14ac:dyDescent="0.2">
      <c r="A84" s="6"/>
      <c r="B84" s="7"/>
      <c r="C84" s="9" t="str">
        <f t="shared" si="1"/>
        <v/>
      </c>
      <c r="D84" s="25" t="str">
        <f t="shared" si="2"/>
        <v/>
      </c>
      <c r="E84" s="21" t="str">
        <f t="shared" si="3"/>
        <v/>
      </c>
      <c r="F84" s="21" t="str">
        <f t="shared" si="4"/>
        <v/>
      </c>
      <c r="G84" s="21"/>
      <c r="H84" s="21"/>
      <c r="J84" s="5"/>
      <c r="K84" s="29"/>
      <c r="M84" s="15">
        <f t="shared" si="5"/>
        <v>-215.9731870528725</v>
      </c>
      <c r="N84" s="15">
        <f t="shared" si="6"/>
        <v>215.9731870528725</v>
      </c>
      <c r="P84" s="9">
        <v>60</v>
      </c>
      <c r="Q84" s="20">
        <f t="shared" si="9"/>
        <v>0</v>
      </c>
      <c r="R84" s="20">
        <f t="shared" si="10"/>
        <v>0</v>
      </c>
      <c r="S84" s="5">
        <f t="shared" si="11"/>
        <v>0</v>
      </c>
      <c r="T84">
        <f>SUM($S$26:S85)</f>
        <v>0</v>
      </c>
    </row>
    <row r="85" spans="1:20" x14ac:dyDescent="0.2">
      <c r="A85" s="6"/>
      <c r="B85" s="7"/>
      <c r="C85" s="9" t="str">
        <f t="shared" si="1"/>
        <v/>
      </c>
      <c r="D85" s="25" t="str">
        <f t="shared" si="2"/>
        <v/>
      </c>
      <c r="E85" s="21" t="str">
        <f t="shared" si="3"/>
        <v/>
      </c>
      <c r="F85" s="21" t="str">
        <f t="shared" si="4"/>
        <v/>
      </c>
      <c r="G85" s="21"/>
      <c r="H85" s="21"/>
      <c r="J85" s="5"/>
      <c r="K85" s="29"/>
      <c r="M85" s="15">
        <f t="shared" si="5"/>
        <v>-215.9731870528725</v>
      </c>
      <c r="N85" s="15">
        <f t="shared" si="6"/>
        <v>215.9731870528725</v>
      </c>
      <c r="P85" s="9">
        <v>61</v>
      </c>
      <c r="Q85" s="20">
        <f t="shared" si="9"/>
        <v>0</v>
      </c>
      <c r="R85" s="20">
        <f t="shared" si="10"/>
        <v>0</v>
      </c>
      <c r="S85" s="5">
        <f t="shared" si="11"/>
        <v>0</v>
      </c>
      <c r="T85">
        <f>SUM($S$26:S86)</f>
        <v>0</v>
      </c>
    </row>
    <row r="86" spans="1:20" x14ac:dyDescent="0.2">
      <c r="A86" s="6"/>
      <c r="B86" s="7"/>
      <c r="C86" s="9" t="str">
        <f t="shared" si="1"/>
        <v/>
      </c>
      <c r="D86" s="25" t="str">
        <f t="shared" si="2"/>
        <v/>
      </c>
      <c r="E86" s="21" t="str">
        <f t="shared" si="3"/>
        <v/>
      </c>
      <c r="F86" s="21" t="str">
        <f t="shared" si="4"/>
        <v/>
      </c>
      <c r="G86" s="21"/>
      <c r="H86" s="21"/>
      <c r="J86" s="5"/>
      <c r="K86" s="29"/>
      <c r="M86" s="15">
        <f t="shared" si="5"/>
        <v>-215.9731870528725</v>
      </c>
      <c r="N86" s="15">
        <f t="shared" si="6"/>
        <v>215.9731870528725</v>
      </c>
      <c r="P86" s="9">
        <v>62</v>
      </c>
      <c r="Q86" s="20">
        <f t="shared" si="9"/>
        <v>0</v>
      </c>
      <c r="R86" s="20">
        <f t="shared" si="10"/>
        <v>0</v>
      </c>
      <c r="S86" s="5">
        <f t="shared" si="11"/>
        <v>0</v>
      </c>
      <c r="T86">
        <f>SUM($S$26:S87)</f>
        <v>0</v>
      </c>
    </row>
    <row r="87" spans="1:20" x14ac:dyDescent="0.2">
      <c r="A87" s="6"/>
      <c r="B87" s="7"/>
      <c r="C87" s="9" t="str">
        <f t="shared" si="1"/>
        <v/>
      </c>
      <c r="D87" s="25" t="str">
        <f t="shared" si="2"/>
        <v/>
      </c>
      <c r="E87" s="21" t="str">
        <f t="shared" si="3"/>
        <v/>
      </c>
      <c r="F87" s="21" t="str">
        <f t="shared" si="4"/>
        <v/>
      </c>
      <c r="G87" s="21"/>
      <c r="H87" s="21"/>
      <c r="J87" s="5"/>
      <c r="K87" s="29"/>
      <c r="M87" s="15">
        <f t="shared" si="5"/>
        <v>-215.9731870528725</v>
      </c>
      <c r="N87" s="15">
        <f t="shared" si="6"/>
        <v>215.9731870528725</v>
      </c>
      <c r="P87" s="9">
        <v>63</v>
      </c>
      <c r="Q87" s="20">
        <f t="shared" si="9"/>
        <v>0</v>
      </c>
      <c r="R87" s="20">
        <f t="shared" si="10"/>
        <v>0</v>
      </c>
      <c r="S87" s="5">
        <f t="shared" si="11"/>
        <v>0</v>
      </c>
      <c r="T87">
        <f>SUM($S$26:S88)</f>
        <v>0</v>
      </c>
    </row>
    <row r="88" spans="1:20" x14ac:dyDescent="0.2">
      <c r="A88" s="6"/>
      <c r="B88" s="7"/>
      <c r="C88" s="9" t="str">
        <f t="shared" si="1"/>
        <v/>
      </c>
      <c r="D88" s="25" t="str">
        <f t="shared" si="2"/>
        <v/>
      </c>
      <c r="E88" s="21" t="str">
        <f t="shared" si="3"/>
        <v/>
      </c>
      <c r="F88" s="21" t="str">
        <f t="shared" si="4"/>
        <v/>
      </c>
      <c r="G88" s="21"/>
      <c r="H88" s="21"/>
      <c r="J88" s="5"/>
      <c r="K88" s="29"/>
      <c r="M88" s="15">
        <f t="shared" si="5"/>
        <v>-215.9731870528725</v>
      </c>
      <c r="N88" s="15">
        <f t="shared" si="6"/>
        <v>215.9731870528725</v>
      </c>
      <c r="P88" s="9">
        <v>64</v>
      </c>
      <c r="Q88" s="20">
        <f t="shared" si="9"/>
        <v>0</v>
      </c>
      <c r="R88" s="20">
        <f t="shared" si="10"/>
        <v>0</v>
      </c>
      <c r="S88" s="5">
        <f t="shared" si="11"/>
        <v>0</v>
      </c>
      <c r="T88">
        <f>SUM($S$26:S89)</f>
        <v>0</v>
      </c>
    </row>
    <row r="89" spans="1:20" x14ac:dyDescent="0.2">
      <c r="A89" s="6"/>
      <c r="B89" s="7"/>
      <c r="C89" s="9" t="str">
        <f t="shared" si="1"/>
        <v/>
      </c>
      <c r="D89" s="25" t="str">
        <f t="shared" si="2"/>
        <v/>
      </c>
      <c r="E89" s="21" t="str">
        <f t="shared" si="3"/>
        <v/>
      </c>
      <c r="F89" s="21" t="str">
        <f t="shared" si="4"/>
        <v/>
      </c>
      <c r="G89" s="21"/>
      <c r="H89" s="21"/>
      <c r="J89" s="5"/>
      <c r="K89" s="29"/>
      <c r="M89" s="15">
        <f t="shared" si="5"/>
        <v>-215.9731870528725</v>
      </c>
      <c r="N89" s="15">
        <f t="shared" si="6"/>
        <v>215.9731870528725</v>
      </c>
      <c r="P89" s="9">
        <v>65</v>
      </c>
      <c r="Q89" s="20">
        <f t="shared" si="9"/>
        <v>0</v>
      </c>
      <c r="R89" s="20">
        <f t="shared" si="10"/>
        <v>0</v>
      </c>
      <c r="S89" s="5">
        <f t="shared" ref="S89:S120" si="12">IF(C89&gt;$C$15,0,IF(ABS(G89)&gt;=$I$3,1,0))</f>
        <v>0</v>
      </c>
      <c r="T89">
        <f>SUM($S$26:S90)</f>
        <v>0</v>
      </c>
    </row>
    <row r="90" spans="1:20" x14ac:dyDescent="0.2">
      <c r="A90" s="6"/>
      <c r="B90" s="7"/>
      <c r="C90" s="9" t="str">
        <f t="shared" ref="C90:C109" si="13">IF(A90="","",A90)</f>
        <v/>
      </c>
      <c r="D90" s="25" t="str">
        <f t="shared" ref="D90:D120" si="14">IF(A90="","",$N$17+$N$18*C90)</f>
        <v/>
      </c>
      <c r="E90" s="21" t="str">
        <f t="shared" ref="E90:E120" si="15">IF(A90="","",IF(B90="",NA(),B90-D90))</f>
        <v/>
      </c>
      <c r="F90" s="21" t="str">
        <f t="shared" ref="F90:F120" si="16">IF(A90="","",IF(B90="",NA(),E90^2))</f>
        <v/>
      </c>
      <c r="G90" s="21"/>
      <c r="H90" s="21"/>
      <c r="J90" s="5"/>
      <c r="K90" s="29"/>
      <c r="M90" s="15">
        <f t="shared" ref="M90:M120" si="17">-$I$3</f>
        <v>-215.9731870528725</v>
      </c>
      <c r="N90" s="15">
        <f t="shared" ref="N90:N120" si="18">$I$3</f>
        <v>215.9731870528725</v>
      </c>
      <c r="P90" s="9">
        <v>66</v>
      </c>
      <c r="Q90" s="20">
        <f t="shared" si="9"/>
        <v>0</v>
      </c>
      <c r="R90" s="20">
        <f t="shared" si="10"/>
        <v>0</v>
      </c>
      <c r="S90" s="5">
        <f t="shared" si="12"/>
        <v>0</v>
      </c>
      <c r="T90">
        <f>SUM($S$26:S91)</f>
        <v>0</v>
      </c>
    </row>
    <row r="91" spans="1:20" x14ac:dyDescent="0.2">
      <c r="A91" s="6"/>
      <c r="B91" s="7"/>
      <c r="C91" s="9" t="str">
        <f t="shared" si="13"/>
        <v/>
      </c>
      <c r="D91" s="25" t="str">
        <f t="shared" si="14"/>
        <v/>
      </c>
      <c r="E91" s="21" t="str">
        <f t="shared" si="15"/>
        <v/>
      </c>
      <c r="F91" s="21" t="str">
        <f t="shared" si="16"/>
        <v/>
      </c>
      <c r="G91" s="21"/>
      <c r="H91" s="21"/>
      <c r="J91" s="5"/>
      <c r="K91" s="29"/>
      <c r="M91" s="15">
        <f t="shared" si="17"/>
        <v>-215.9731870528725</v>
      </c>
      <c r="N91" s="15">
        <f t="shared" si="18"/>
        <v>215.9731870528725</v>
      </c>
      <c r="P91" s="9">
        <v>67</v>
      </c>
      <c r="Q91" s="20">
        <f t="shared" si="9"/>
        <v>0</v>
      </c>
      <c r="R91" s="20">
        <f t="shared" si="10"/>
        <v>0</v>
      </c>
      <c r="S91" s="5">
        <f t="shared" si="12"/>
        <v>0</v>
      </c>
      <c r="T91">
        <f>SUM($S$26:S92)</f>
        <v>0</v>
      </c>
    </row>
    <row r="92" spans="1:20" x14ac:dyDescent="0.2">
      <c r="A92" s="6"/>
      <c r="B92" s="7"/>
      <c r="C92" s="9" t="str">
        <f t="shared" si="13"/>
        <v/>
      </c>
      <c r="D92" s="25" t="str">
        <f t="shared" si="14"/>
        <v/>
      </c>
      <c r="E92" s="21" t="str">
        <f t="shared" si="15"/>
        <v/>
      </c>
      <c r="F92" s="21" t="str">
        <f t="shared" si="16"/>
        <v/>
      </c>
      <c r="G92" s="21"/>
      <c r="H92" s="21"/>
      <c r="J92" s="5"/>
      <c r="K92" s="29"/>
      <c r="M92" s="15">
        <f t="shared" si="17"/>
        <v>-215.9731870528725</v>
      </c>
      <c r="N92" s="15">
        <f t="shared" si="18"/>
        <v>215.9731870528725</v>
      </c>
      <c r="P92" s="9">
        <v>68</v>
      </c>
      <c r="Q92" s="20">
        <f t="shared" si="9"/>
        <v>0</v>
      </c>
      <c r="R92" s="20">
        <f t="shared" si="10"/>
        <v>0</v>
      </c>
      <c r="S92" s="5">
        <f t="shared" si="12"/>
        <v>0</v>
      </c>
      <c r="T92">
        <f>SUM($S$26:S93)</f>
        <v>0</v>
      </c>
    </row>
    <row r="93" spans="1:20" x14ac:dyDescent="0.2">
      <c r="A93" s="6"/>
      <c r="B93" s="7"/>
      <c r="C93" s="9" t="str">
        <f t="shared" si="13"/>
        <v/>
      </c>
      <c r="D93" s="25" t="str">
        <f t="shared" si="14"/>
        <v/>
      </c>
      <c r="E93" s="21" t="str">
        <f t="shared" si="15"/>
        <v/>
      </c>
      <c r="F93" s="21" t="str">
        <f t="shared" si="16"/>
        <v/>
      </c>
      <c r="G93" s="21"/>
      <c r="H93" s="21"/>
      <c r="J93" s="5"/>
      <c r="K93" s="29"/>
      <c r="M93" s="15">
        <f t="shared" si="17"/>
        <v>-215.9731870528725</v>
      </c>
      <c r="N93" s="15">
        <f t="shared" si="18"/>
        <v>215.9731870528725</v>
      </c>
      <c r="P93" s="9">
        <v>69</v>
      </c>
      <c r="Q93" s="20">
        <f t="shared" si="9"/>
        <v>0</v>
      </c>
      <c r="R93" s="20">
        <f t="shared" si="10"/>
        <v>0</v>
      </c>
      <c r="S93" s="5">
        <f t="shared" si="12"/>
        <v>0</v>
      </c>
      <c r="T93">
        <f>SUM($S$26:S94)</f>
        <v>0</v>
      </c>
    </row>
    <row r="94" spans="1:20" x14ac:dyDescent="0.2">
      <c r="A94" s="6"/>
      <c r="B94" s="7"/>
      <c r="C94" s="9" t="str">
        <f t="shared" si="13"/>
        <v/>
      </c>
      <c r="D94" s="25" t="str">
        <f t="shared" si="14"/>
        <v/>
      </c>
      <c r="E94" s="21" t="str">
        <f t="shared" si="15"/>
        <v/>
      </c>
      <c r="F94" s="21" t="str">
        <f t="shared" si="16"/>
        <v/>
      </c>
      <c r="G94" s="21"/>
      <c r="H94" s="21"/>
      <c r="J94" s="5"/>
      <c r="K94" s="29"/>
      <c r="M94" s="15">
        <f t="shared" si="17"/>
        <v>-215.9731870528725</v>
      </c>
      <c r="N94" s="15">
        <f t="shared" si="18"/>
        <v>215.9731870528725</v>
      </c>
      <c r="P94" s="9">
        <v>70</v>
      </c>
      <c r="Q94" s="20">
        <f t="shared" si="9"/>
        <v>0</v>
      </c>
      <c r="R94" s="20">
        <f t="shared" si="10"/>
        <v>0</v>
      </c>
      <c r="S94" s="5">
        <f t="shared" si="12"/>
        <v>0</v>
      </c>
      <c r="T94">
        <f>SUM($S$26:S95)</f>
        <v>0</v>
      </c>
    </row>
    <row r="95" spans="1:20" x14ac:dyDescent="0.2">
      <c r="A95" s="6"/>
      <c r="B95" s="7"/>
      <c r="C95" s="9" t="str">
        <f t="shared" si="13"/>
        <v/>
      </c>
      <c r="D95" s="25" t="str">
        <f t="shared" si="14"/>
        <v/>
      </c>
      <c r="E95" s="21" t="str">
        <f t="shared" si="15"/>
        <v/>
      </c>
      <c r="F95" s="21" t="str">
        <f t="shared" si="16"/>
        <v/>
      </c>
      <c r="G95" s="21"/>
      <c r="H95" s="21"/>
      <c r="J95" s="5"/>
      <c r="K95" s="29"/>
      <c r="M95" s="15">
        <f t="shared" si="17"/>
        <v>-215.9731870528725</v>
      </c>
      <c r="N95" s="15">
        <f t="shared" si="18"/>
        <v>215.9731870528725</v>
      </c>
      <c r="P95" s="9">
        <v>71</v>
      </c>
      <c r="Q95" s="20">
        <f t="shared" si="9"/>
        <v>0</v>
      </c>
      <c r="R95" s="20">
        <f t="shared" si="10"/>
        <v>0</v>
      </c>
      <c r="S95" s="5">
        <f t="shared" si="12"/>
        <v>0</v>
      </c>
      <c r="T95">
        <f>SUM($S$26:S96)</f>
        <v>0</v>
      </c>
    </row>
    <row r="96" spans="1:20" x14ac:dyDescent="0.2">
      <c r="A96" s="6"/>
      <c r="B96" s="7"/>
      <c r="C96" s="9" t="str">
        <f t="shared" si="13"/>
        <v/>
      </c>
      <c r="D96" s="25" t="str">
        <f t="shared" si="14"/>
        <v/>
      </c>
      <c r="E96" s="21" t="str">
        <f t="shared" si="15"/>
        <v/>
      </c>
      <c r="F96" s="21" t="str">
        <f t="shared" si="16"/>
        <v/>
      </c>
      <c r="G96" s="21"/>
      <c r="H96" s="21"/>
      <c r="J96" s="5"/>
      <c r="K96" s="29"/>
      <c r="M96" s="15">
        <f t="shared" si="17"/>
        <v>-215.9731870528725</v>
      </c>
      <c r="N96" s="15">
        <f t="shared" si="18"/>
        <v>215.9731870528725</v>
      </c>
      <c r="P96" s="9">
        <v>72</v>
      </c>
      <c r="Q96" s="20">
        <f t="shared" si="9"/>
        <v>0</v>
      </c>
      <c r="R96" s="20">
        <f t="shared" si="10"/>
        <v>0</v>
      </c>
      <c r="S96" s="5">
        <f t="shared" si="12"/>
        <v>0</v>
      </c>
      <c r="T96">
        <f>SUM($S$26:S97)</f>
        <v>0</v>
      </c>
    </row>
    <row r="97" spans="1:20" x14ac:dyDescent="0.2">
      <c r="A97" s="6"/>
      <c r="B97" s="7"/>
      <c r="C97" s="9" t="str">
        <f t="shared" si="13"/>
        <v/>
      </c>
      <c r="D97" s="25" t="str">
        <f t="shared" si="14"/>
        <v/>
      </c>
      <c r="E97" s="21" t="str">
        <f t="shared" si="15"/>
        <v/>
      </c>
      <c r="F97" s="21" t="str">
        <f t="shared" si="16"/>
        <v/>
      </c>
      <c r="G97" s="21"/>
      <c r="H97" s="21"/>
      <c r="J97" s="5"/>
      <c r="K97" s="29"/>
      <c r="M97" s="15">
        <f t="shared" si="17"/>
        <v>-215.9731870528725</v>
      </c>
      <c r="N97" s="15">
        <f t="shared" si="18"/>
        <v>215.9731870528725</v>
      </c>
      <c r="P97" s="9">
        <v>73</v>
      </c>
      <c r="Q97" s="20">
        <f t="shared" si="9"/>
        <v>0</v>
      </c>
      <c r="R97" s="20">
        <f t="shared" si="10"/>
        <v>0</v>
      </c>
      <c r="S97" s="5">
        <f t="shared" si="12"/>
        <v>0</v>
      </c>
      <c r="T97">
        <f>SUM($S$26:S98)</f>
        <v>0</v>
      </c>
    </row>
    <row r="98" spans="1:20" x14ac:dyDescent="0.2">
      <c r="A98" s="6"/>
      <c r="B98" s="7"/>
      <c r="C98" s="9" t="str">
        <f t="shared" si="13"/>
        <v/>
      </c>
      <c r="D98" s="25" t="str">
        <f t="shared" si="14"/>
        <v/>
      </c>
      <c r="E98" s="21" t="str">
        <f t="shared" si="15"/>
        <v/>
      </c>
      <c r="F98" s="21" t="str">
        <f t="shared" si="16"/>
        <v/>
      </c>
      <c r="G98" s="21"/>
      <c r="H98" s="21"/>
      <c r="J98" s="5"/>
      <c r="K98" s="29"/>
      <c r="M98" s="15">
        <f t="shared" si="17"/>
        <v>-215.9731870528725</v>
      </c>
      <c r="N98" s="15">
        <f t="shared" si="18"/>
        <v>215.9731870528725</v>
      </c>
      <c r="P98" s="9">
        <v>74</v>
      </c>
      <c r="Q98" s="20">
        <f t="shared" si="9"/>
        <v>0</v>
      </c>
      <c r="R98" s="20">
        <f t="shared" si="10"/>
        <v>0</v>
      </c>
      <c r="S98" s="5">
        <f t="shared" si="12"/>
        <v>0</v>
      </c>
      <c r="T98">
        <f>SUM($S$26:S99)</f>
        <v>0</v>
      </c>
    </row>
    <row r="99" spans="1:20" x14ac:dyDescent="0.2">
      <c r="A99" s="6"/>
      <c r="B99" s="7"/>
      <c r="C99" s="9" t="str">
        <f t="shared" si="13"/>
        <v/>
      </c>
      <c r="D99" s="25" t="str">
        <f t="shared" si="14"/>
        <v/>
      </c>
      <c r="E99" s="21" t="str">
        <f t="shared" si="15"/>
        <v/>
      </c>
      <c r="F99" s="21" t="str">
        <f t="shared" si="16"/>
        <v/>
      </c>
      <c r="G99" s="21"/>
      <c r="H99" s="21"/>
      <c r="J99" s="5"/>
      <c r="K99" s="29"/>
      <c r="M99" s="15">
        <f t="shared" si="17"/>
        <v>-215.9731870528725</v>
      </c>
      <c r="N99" s="15">
        <f t="shared" si="18"/>
        <v>215.9731870528725</v>
      </c>
      <c r="P99" s="9">
        <v>75</v>
      </c>
      <c r="Q99" s="20">
        <f t="shared" si="9"/>
        <v>0</v>
      </c>
      <c r="R99" s="20">
        <f t="shared" si="10"/>
        <v>0</v>
      </c>
      <c r="S99" s="5">
        <f t="shared" si="12"/>
        <v>0</v>
      </c>
      <c r="T99">
        <f>SUM($S$26:S100)</f>
        <v>0</v>
      </c>
    </row>
    <row r="100" spans="1:20" x14ac:dyDescent="0.2">
      <c r="A100" s="6"/>
      <c r="B100" s="7"/>
      <c r="C100" s="9" t="str">
        <f t="shared" si="13"/>
        <v/>
      </c>
      <c r="D100" s="25" t="str">
        <f t="shared" si="14"/>
        <v/>
      </c>
      <c r="E100" s="21" t="str">
        <f t="shared" si="15"/>
        <v/>
      </c>
      <c r="F100" s="21" t="str">
        <f t="shared" si="16"/>
        <v/>
      </c>
      <c r="G100" s="21"/>
      <c r="H100" s="21"/>
      <c r="J100" s="5"/>
      <c r="K100" s="29"/>
      <c r="M100" s="15">
        <f t="shared" si="17"/>
        <v>-215.9731870528725</v>
      </c>
      <c r="N100" s="15">
        <f t="shared" si="18"/>
        <v>215.9731870528725</v>
      </c>
      <c r="P100" s="9">
        <v>76</v>
      </c>
      <c r="Q100" s="20">
        <f t="shared" ref="Q100:Q120" si="19">IF(B100="",0,+Q99+ABS(E100))</f>
        <v>0</v>
      </c>
      <c r="R100" s="20">
        <f t="shared" ref="R100:R120" si="20">IF(B100="",0,+R99+E100^2)</f>
        <v>0</v>
      </c>
      <c r="S100" s="5">
        <f t="shared" si="12"/>
        <v>0</v>
      </c>
      <c r="T100">
        <f>SUM($S$26:S101)</f>
        <v>0</v>
      </c>
    </row>
    <row r="101" spans="1:20" x14ac:dyDescent="0.2">
      <c r="A101" s="6"/>
      <c r="B101" s="7"/>
      <c r="C101" s="9" t="str">
        <f t="shared" si="13"/>
        <v/>
      </c>
      <c r="D101" s="25" t="str">
        <f t="shared" si="14"/>
        <v/>
      </c>
      <c r="E101" s="21" t="str">
        <f t="shared" si="15"/>
        <v/>
      </c>
      <c r="F101" s="21" t="str">
        <f t="shared" si="16"/>
        <v/>
      </c>
      <c r="G101" s="21"/>
      <c r="H101" s="21"/>
      <c r="J101" s="5"/>
      <c r="K101" s="29"/>
      <c r="M101" s="15">
        <f t="shared" si="17"/>
        <v>-215.9731870528725</v>
      </c>
      <c r="N101" s="15">
        <f t="shared" si="18"/>
        <v>215.9731870528725</v>
      </c>
      <c r="P101" s="9">
        <v>77</v>
      </c>
      <c r="Q101" s="20">
        <f t="shared" si="19"/>
        <v>0</v>
      </c>
      <c r="R101" s="20">
        <f t="shared" si="20"/>
        <v>0</v>
      </c>
      <c r="S101" s="5">
        <f t="shared" si="12"/>
        <v>0</v>
      </c>
      <c r="T101">
        <f>SUM($S$26:S102)</f>
        <v>0</v>
      </c>
    </row>
    <row r="102" spans="1:20" x14ac:dyDescent="0.2">
      <c r="A102" s="6"/>
      <c r="B102" s="7"/>
      <c r="C102" s="9" t="str">
        <f t="shared" si="13"/>
        <v/>
      </c>
      <c r="D102" s="25" t="str">
        <f t="shared" si="14"/>
        <v/>
      </c>
      <c r="E102" s="21" t="str">
        <f t="shared" si="15"/>
        <v/>
      </c>
      <c r="F102" s="21" t="str">
        <f t="shared" si="16"/>
        <v/>
      </c>
      <c r="G102" s="21"/>
      <c r="H102" s="21"/>
      <c r="J102" s="5"/>
      <c r="K102" s="29"/>
      <c r="M102" s="15">
        <f t="shared" si="17"/>
        <v>-215.9731870528725</v>
      </c>
      <c r="N102" s="15">
        <f t="shared" si="18"/>
        <v>215.9731870528725</v>
      </c>
      <c r="P102" s="9">
        <v>78</v>
      </c>
      <c r="Q102" s="20">
        <f t="shared" si="19"/>
        <v>0</v>
      </c>
      <c r="R102" s="20">
        <f t="shared" si="20"/>
        <v>0</v>
      </c>
      <c r="S102" s="5">
        <f t="shared" si="12"/>
        <v>0</v>
      </c>
      <c r="T102">
        <f>SUM($S$26:S103)</f>
        <v>0</v>
      </c>
    </row>
    <row r="103" spans="1:20" x14ac:dyDescent="0.2">
      <c r="A103" s="6"/>
      <c r="B103" s="7"/>
      <c r="C103" s="9" t="str">
        <f t="shared" si="13"/>
        <v/>
      </c>
      <c r="D103" s="25" t="str">
        <f t="shared" si="14"/>
        <v/>
      </c>
      <c r="E103" s="21" t="str">
        <f t="shared" si="15"/>
        <v/>
      </c>
      <c r="F103" s="21" t="str">
        <f t="shared" si="16"/>
        <v/>
      </c>
      <c r="G103" s="21"/>
      <c r="H103" s="21"/>
      <c r="J103" s="5"/>
      <c r="K103" s="29"/>
      <c r="M103" s="15">
        <f t="shared" si="17"/>
        <v>-215.9731870528725</v>
      </c>
      <c r="N103" s="15">
        <f t="shared" si="18"/>
        <v>215.9731870528725</v>
      </c>
      <c r="P103" s="9">
        <v>79</v>
      </c>
      <c r="Q103" s="20">
        <f t="shared" si="19"/>
        <v>0</v>
      </c>
      <c r="R103" s="20">
        <f t="shared" si="20"/>
        <v>0</v>
      </c>
      <c r="S103" s="5">
        <f t="shared" si="12"/>
        <v>0</v>
      </c>
      <c r="T103">
        <f>SUM($S$26:S104)</f>
        <v>0</v>
      </c>
    </row>
    <row r="104" spans="1:20" x14ac:dyDescent="0.2">
      <c r="A104" s="6"/>
      <c r="B104" s="7"/>
      <c r="C104" s="9" t="str">
        <f t="shared" si="13"/>
        <v/>
      </c>
      <c r="D104" s="25" t="str">
        <f t="shared" si="14"/>
        <v/>
      </c>
      <c r="E104" s="21" t="str">
        <f t="shared" si="15"/>
        <v/>
      </c>
      <c r="F104" s="21" t="str">
        <f t="shared" si="16"/>
        <v/>
      </c>
      <c r="G104" s="21"/>
      <c r="H104" s="21"/>
      <c r="J104" s="5"/>
      <c r="K104" s="29"/>
      <c r="M104" s="15">
        <f t="shared" si="17"/>
        <v>-215.9731870528725</v>
      </c>
      <c r="N104" s="15">
        <f t="shared" si="18"/>
        <v>215.9731870528725</v>
      </c>
      <c r="P104" s="9">
        <v>80</v>
      </c>
      <c r="Q104" s="20">
        <f t="shared" si="19"/>
        <v>0</v>
      </c>
      <c r="R104" s="20">
        <f t="shared" si="20"/>
        <v>0</v>
      </c>
      <c r="S104" s="5">
        <f t="shared" si="12"/>
        <v>0</v>
      </c>
      <c r="T104">
        <f>SUM($S$26:S105)</f>
        <v>0</v>
      </c>
    </row>
    <row r="105" spans="1:20" x14ac:dyDescent="0.2">
      <c r="A105" s="6"/>
      <c r="B105" s="7"/>
      <c r="C105" s="9" t="str">
        <f t="shared" si="13"/>
        <v/>
      </c>
      <c r="D105" s="25" t="str">
        <f t="shared" si="14"/>
        <v/>
      </c>
      <c r="E105" s="21" t="str">
        <f t="shared" si="15"/>
        <v/>
      </c>
      <c r="F105" s="21" t="str">
        <f t="shared" si="16"/>
        <v/>
      </c>
      <c r="G105" s="21"/>
      <c r="H105" s="21"/>
      <c r="J105" s="5"/>
      <c r="K105" s="29"/>
      <c r="M105" s="15">
        <f t="shared" si="17"/>
        <v>-215.9731870528725</v>
      </c>
      <c r="N105" s="15">
        <f t="shared" si="18"/>
        <v>215.9731870528725</v>
      </c>
      <c r="P105" s="9">
        <v>81</v>
      </c>
      <c r="Q105" s="20">
        <f t="shared" si="19"/>
        <v>0</v>
      </c>
      <c r="R105" s="20">
        <f t="shared" si="20"/>
        <v>0</v>
      </c>
      <c r="S105" s="5">
        <f t="shared" si="12"/>
        <v>0</v>
      </c>
      <c r="T105">
        <f>SUM($S$26:S106)</f>
        <v>0</v>
      </c>
    </row>
    <row r="106" spans="1:20" x14ac:dyDescent="0.2">
      <c r="A106" s="6"/>
      <c r="B106" s="7"/>
      <c r="C106" s="9" t="str">
        <f t="shared" si="13"/>
        <v/>
      </c>
      <c r="D106" s="25" t="str">
        <f t="shared" si="14"/>
        <v/>
      </c>
      <c r="E106" s="21" t="str">
        <f t="shared" si="15"/>
        <v/>
      </c>
      <c r="F106" s="21" t="str">
        <f t="shared" si="16"/>
        <v/>
      </c>
      <c r="G106" s="21"/>
      <c r="H106" s="21"/>
      <c r="J106" s="5"/>
      <c r="K106" s="29"/>
      <c r="M106" s="15">
        <f t="shared" si="17"/>
        <v>-215.9731870528725</v>
      </c>
      <c r="N106" s="15">
        <f t="shared" si="18"/>
        <v>215.9731870528725</v>
      </c>
      <c r="P106" s="9">
        <v>82</v>
      </c>
      <c r="Q106" s="20">
        <f t="shared" si="19"/>
        <v>0</v>
      </c>
      <c r="R106" s="20">
        <f t="shared" si="20"/>
        <v>0</v>
      </c>
      <c r="S106" s="5">
        <f t="shared" si="12"/>
        <v>0</v>
      </c>
      <c r="T106">
        <f>SUM($S$26:S107)</f>
        <v>0</v>
      </c>
    </row>
    <row r="107" spans="1:20" x14ac:dyDescent="0.2">
      <c r="A107" s="6"/>
      <c r="B107" s="7"/>
      <c r="C107" s="9" t="str">
        <f t="shared" si="13"/>
        <v/>
      </c>
      <c r="D107" s="25" t="str">
        <f t="shared" si="14"/>
        <v/>
      </c>
      <c r="E107" s="21" t="str">
        <f t="shared" si="15"/>
        <v/>
      </c>
      <c r="F107" s="21" t="str">
        <f t="shared" si="16"/>
        <v/>
      </c>
      <c r="G107" s="21"/>
      <c r="H107" s="21"/>
      <c r="J107" s="5"/>
      <c r="K107" s="29"/>
      <c r="M107" s="15">
        <f t="shared" si="17"/>
        <v>-215.9731870528725</v>
      </c>
      <c r="N107" s="15">
        <f t="shared" si="18"/>
        <v>215.9731870528725</v>
      </c>
      <c r="P107" s="9">
        <v>83</v>
      </c>
      <c r="Q107" s="20">
        <f t="shared" si="19"/>
        <v>0</v>
      </c>
      <c r="R107" s="20">
        <f t="shared" si="20"/>
        <v>0</v>
      </c>
      <c r="S107" s="5">
        <f t="shared" si="12"/>
        <v>0</v>
      </c>
      <c r="T107">
        <f>SUM($S$26:S108)</f>
        <v>0</v>
      </c>
    </row>
    <row r="108" spans="1:20" x14ac:dyDescent="0.2">
      <c r="A108" s="6"/>
      <c r="B108" s="7"/>
      <c r="C108" s="9" t="str">
        <f t="shared" si="13"/>
        <v/>
      </c>
      <c r="D108" s="25" t="str">
        <f t="shared" si="14"/>
        <v/>
      </c>
      <c r="E108" s="21" t="str">
        <f t="shared" si="15"/>
        <v/>
      </c>
      <c r="F108" s="21" t="str">
        <f t="shared" si="16"/>
        <v/>
      </c>
      <c r="G108" s="21"/>
      <c r="H108" s="21"/>
      <c r="J108" s="5"/>
      <c r="K108" s="29"/>
      <c r="M108" s="15">
        <f t="shared" si="17"/>
        <v>-215.9731870528725</v>
      </c>
      <c r="N108" s="15">
        <f t="shared" si="18"/>
        <v>215.9731870528725</v>
      </c>
      <c r="P108" s="9">
        <v>84</v>
      </c>
      <c r="Q108" s="20">
        <f t="shared" si="19"/>
        <v>0</v>
      </c>
      <c r="R108" s="20">
        <f t="shared" si="20"/>
        <v>0</v>
      </c>
      <c r="S108" s="5">
        <f t="shared" si="12"/>
        <v>0</v>
      </c>
      <c r="T108">
        <f>SUM($S$26:S109)</f>
        <v>0</v>
      </c>
    </row>
    <row r="109" spans="1:20" x14ac:dyDescent="0.2">
      <c r="A109" s="6"/>
      <c r="B109" s="7"/>
      <c r="C109" s="9" t="str">
        <f t="shared" si="13"/>
        <v/>
      </c>
      <c r="D109" s="25" t="str">
        <f t="shared" si="14"/>
        <v/>
      </c>
      <c r="E109" s="21" t="str">
        <f t="shared" si="15"/>
        <v/>
      </c>
      <c r="F109" s="21" t="str">
        <f t="shared" si="16"/>
        <v/>
      </c>
      <c r="G109" s="21"/>
      <c r="H109" s="21"/>
      <c r="J109" s="5"/>
      <c r="K109" s="29"/>
      <c r="M109" s="15">
        <f t="shared" si="17"/>
        <v>-215.9731870528725</v>
      </c>
      <c r="N109" s="15">
        <f t="shared" si="18"/>
        <v>215.9731870528725</v>
      </c>
      <c r="P109" s="9">
        <v>85</v>
      </c>
      <c r="Q109" s="20">
        <f t="shared" si="19"/>
        <v>0</v>
      </c>
      <c r="R109" s="20">
        <f t="shared" si="20"/>
        <v>0</v>
      </c>
      <c r="S109" s="5">
        <f t="shared" si="12"/>
        <v>0</v>
      </c>
      <c r="T109">
        <f>SUM($S$26:S110)</f>
        <v>0</v>
      </c>
    </row>
    <row r="110" spans="1:20" x14ac:dyDescent="0.2">
      <c r="A110" s="6"/>
      <c r="B110" s="7"/>
      <c r="C110" s="9" t="str">
        <f>IF(A110="","",A110)</f>
        <v/>
      </c>
      <c r="D110" s="25" t="str">
        <f t="shared" si="14"/>
        <v/>
      </c>
      <c r="E110" s="21" t="str">
        <f t="shared" si="15"/>
        <v/>
      </c>
      <c r="F110" s="21" t="str">
        <f t="shared" si="16"/>
        <v/>
      </c>
      <c r="G110" s="21"/>
      <c r="H110" s="21"/>
      <c r="J110" s="5"/>
      <c r="K110" s="29"/>
      <c r="M110" s="15">
        <f t="shared" si="17"/>
        <v>-215.9731870528725</v>
      </c>
      <c r="N110" s="15">
        <f t="shared" si="18"/>
        <v>215.9731870528725</v>
      </c>
      <c r="P110" s="9">
        <v>86</v>
      </c>
      <c r="Q110" s="20">
        <f t="shared" si="19"/>
        <v>0</v>
      </c>
      <c r="R110" s="20">
        <f t="shared" si="20"/>
        <v>0</v>
      </c>
      <c r="S110" s="5">
        <f t="shared" si="12"/>
        <v>0</v>
      </c>
      <c r="T110">
        <f>SUM($S$26:S111)</f>
        <v>0</v>
      </c>
    </row>
    <row r="111" spans="1:20" x14ac:dyDescent="0.2">
      <c r="A111" s="6"/>
      <c r="B111" s="7"/>
      <c r="C111" s="9" t="str">
        <f t="shared" ref="C111:C120" si="21">IF(A111="","",A111)</f>
        <v/>
      </c>
      <c r="D111" s="25" t="str">
        <f t="shared" si="14"/>
        <v/>
      </c>
      <c r="E111" s="21" t="str">
        <f t="shared" si="15"/>
        <v/>
      </c>
      <c r="F111" s="21" t="str">
        <f t="shared" si="16"/>
        <v/>
      </c>
      <c r="G111" s="21"/>
      <c r="H111" s="21"/>
      <c r="J111" s="5"/>
      <c r="K111" s="29"/>
      <c r="M111" s="15">
        <f t="shared" si="17"/>
        <v>-215.9731870528725</v>
      </c>
      <c r="N111" s="15">
        <f t="shared" si="18"/>
        <v>215.9731870528725</v>
      </c>
      <c r="P111" s="9">
        <v>87</v>
      </c>
      <c r="Q111" s="20">
        <f t="shared" si="19"/>
        <v>0</v>
      </c>
      <c r="R111" s="20">
        <f t="shared" si="20"/>
        <v>0</v>
      </c>
      <c r="S111" s="5">
        <f t="shared" si="12"/>
        <v>0</v>
      </c>
      <c r="T111">
        <f>SUM($S$26:S112)</f>
        <v>0</v>
      </c>
    </row>
    <row r="112" spans="1:20" x14ac:dyDescent="0.2">
      <c r="A112" s="6"/>
      <c r="B112" s="7"/>
      <c r="C112" s="9" t="str">
        <f t="shared" si="21"/>
        <v/>
      </c>
      <c r="D112" s="25" t="str">
        <f t="shared" si="14"/>
        <v/>
      </c>
      <c r="E112" s="21" t="str">
        <f t="shared" si="15"/>
        <v/>
      </c>
      <c r="F112" s="21" t="str">
        <f t="shared" si="16"/>
        <v/>
      </c>
      <c r="G112" s="21"/>
      <c r="H112" s="21"/>
      <c r="J112" s="5"/>
      <c r="K112" s="29"/>
      <c r="M112" s="15">
        <f t="shared" si="17"/>
        <v>-215.9731870528725</v>
      </c>
      <c r="N112" s="15">
        <f t="shared" si="18"/>
        <v>215.9731870528725</v>
      </c>
      <c r="P112" s="9">
        <v>88</v>
      </c>
      <c r="Q112" s="20">
        <f t="shared" si="19"/>
        <v>0</v>
      </c>
      <c r="R112" s="20">
        <f t="shared" si="20"/>
        <v>0</v>
      </c>
      <c r="S112" s="5">
        <f t="shared" si="12"/>
        <v>0</v>
      </c>
      <c r="T112">
        <f>SUM($S$26:S113)</f>
        <v>0</v>
      </c>
    </row>
    <row r="113" spans="1:20" x14ac:dyDescent="0.2">
      <c r="A113" s="6"/>
      <c r="B113" s="7"/>
      <c r="C113" s="9" t="str">
        <f t="shared" si="21"/>
        <v/>
      </c>
      <c r="D113" s="25" t="str">
        <f t="shared" si="14"/>
        <v/>
      </c>
      <c r="E113" s="21" t="str">
        <f t="shared" si="15"/>
        <v/>
      </c>
      <c r="F113" s="21" t="str">
        <f t="shared" si="16"/>
        <v/>
      </c>
      <c r="G113" s="21"/>
      <c r="H113" s="21"/>
      <c r="J113" s="5"/>
      <c r="K113" s="29"/>
      <c r="M113" s="15">
        <f t="shared" si="17"/>
        <v>-215.9731870528725</v>
      </c>
      <c r="N113" s="15">
        <f t="shared" si="18"/>
        <v>215.9731870528725</v>
      </c>
      <c r="P113" s="9">
        <v>89</v>
      </c>
      <c r="Q113" s="20">
        <f t="shared" si="19"/>
        <v>0</v>
      </c>
      <c r="R113" s="20">
        <f t="shared" si="20"/>
        <v>0</v>
      </c>
      <c r="S113" s="5">
        <f t="shared" si="12"/>
        <v>0</v>
      </c>
      <c r="T113">
        <f>SUM($S$26:S114)</f>
        <v>0</v>
      </c>
    </row>
    <row r="114" spans="1:20" x14ac:dyDescent="0.2">
      <c r="A114" s="6"/>
      <c r="B114" s="7"/>
      <c r="C114" s="9" t="str">
        <f t="shared" si="21"/>
        <v/>
      </c>
      <c r="D114" s="25" t="str">
        <f t="shared" si="14"/>
        <v/>
      </c>
      <c r="E114" s="21" t="str">
        <f t="shared" si="15"/>
        <v/>
      </c>
      <c r="F114" s="21" t="str">
        <f t="shared" si="16"/>
        <v/>
      </c>
      <c r="G114" s="21"/>
      <c r="H114" s="21"/>
      <c r="J114" s="5"/>
      <c r="K114" s="29"/>
      <c r="M114" s="15">
        <f t="shared" si="17"/>
        <v>-215.9731870528725</v>
      </c>
      <c r="N114" s="15">
        <f t="shared" si="18"/>
        <v>215.9731870528725</v>
      </c>
      <c r="P114" s="9">
        <v>90</v>
      </c>
      <c r="Q114" s="20">
        <f t="shared" si="19"/>
        <v>0</v>
      </c>
      <c r="R114" s="20">
        <f t="shared" si="20"/>
        <v>0</v>
      </c>
      <c r="S114" s="5">
        <f t="shared" si="12"/>
        <v>0</v>
      </c>
      <c r="T114">
        <f>SUM($S$26:S115)</f>
        <v>0</v>
      </c>
    </row>
    <row r="115" spans="1:20" x14ac:dyDescent="0.2">
      <c r="A115" s="6"/>
      <c r="B115" s="7"/>
      <c r="C115" s="9" t="str">
        <f t="shared" si="21"/>
        <v/>
      </c>
      <c r="D115" s="25" t="str">
        <f t="shared" si="14"/>
        <v/>
      </c>
      <c r="E115" s="21" t="str">
        <f t="shared" si="15"/>
        <v/>
      </c>
      <c r="F115" s="21" t="str">
        <f t="shared" si="16"/>
        <v/>
      </c>
      <c r="G115" s="21"/>
      <c r="H115" s="21"/>
      <c r="J115" s="5"/>
      <c r="K115" s="29"/>
      <c r="M115" s="15">
        <f t="shared" si="17"/>
        <v>-215.9731870528725</v>
      </c>
      <c r="N115" s="15">
        <f t="shared" si="18"/>
        <v>215.9731870528725</v>
      </c>
      <c r="P115" s="9">
        <v>91</v>
      </c>
      <c r="Q115" s="20">
        <f t="shared" si="19"/>
        <v>0</v>
      </c>
      <c r="R115" s="20">
        <f t="shared" si="20"/>
        <v>0</v>
      </c>
      <c r="S115" s="5">
        <f t="shared" si="12"/>
        <v>0</v>
      </c>
      <c r="T115">
        <f>SUM($S$26:S116)</f>
        <v>0</v>
      </c>
    </row>
    <row r="116" spans="1:20" x14ac:dyDescent="0.2">
      <c r="A116" s="6"/>
      <c r="B116" s="7"/>
      <c r="C116" s="9" t="str">
        <f t="shared" si="21"/>
        <v/>
      </c>
      <c r="D116" s="25" t="str">
        <f t="shared" si="14"/>
        <v/>
      </c>
      <c r="E116" s="21" t="str">
        <f t="shared" si="15"/>
        <v/>
      </c>
      <c r="F116" s="21" t="str">
        <f t="shared" si="16"/>
        <v/>
      </c>
      <c r="G116" s="21"/>
      <c r="H116" s="21"/>
      <c r="J116" s="5"/>
      <c r="K116" s="29"/>
      <c r="M116" s="15">
        <f t="shared" si="17"/>
        <v>-215.9731870528725</v>
      </c>
      <c r="N116" s="15">
        <f t="shared" si="18"/>
        <v>215.9731870528725</v>
      </c>
      <c r="P116" s="9">
        <v>92</v>
      </c>
      <c r="Q116" s="20">
        <f t="shared" si="19"/>
        <v>0</v>
      </c>
      <c r="R116" s="20">
        <f t="shared" si="20"/>
        <v>0</v>
      </c>
      <c r="S116" s="5">
        <f t="shared" si="12"/>
        <v>0</v>
      </c>
      <c r="T116">
        <f>SUM($S$26:S117)</f>
        <v>0</v>
      </c>
    </row>
    <row r="117" spans="1:20" x14ac:dyDescent="0.2">
      <c r="A117" s="6"/>
      <c r="B117" s="7"/>
      <c r="C117" s="9" t="str">
        <f t="shared" si="21"/>
        <v/>
      </c>
      <c r="D117" s="25" t="str">
        <f t="shared" si="14"/>
        <v/>
      </c>
      <c r="E117" s="21" t="str">
        <f t="shared" si="15"/>
        <v/>
      </c>
      <c r="F117" s="21" t="str">
        <f t="shared" si="16"/>
        <v/>
      </c>
      <c r="G117" s="21"/>
      <c r="H117" s="21"/>
      <c r="J117" s="5"/>
      <c r="K117" s="29"/>
      <c r="M117" s="15">
        <f t="shared" si="17"/>
        <v>-215.9731870528725</v>
      </c>
      <c r="N117" s="15">
        <f t="shared" si="18"/>
        <v>215.9731870528725</v>
      </c>
      <c r="P117" s="9">
        <v>93</v>
      </c>
      <c r="Q117" s="20">
        <f t="shared" si="19"/>
        <v>0</v>
      </c>
      <c r="R117" s="20">
        <f t="shared" si="20"/>
        <v>0</v>
      </c>
      <c r="S117" s="5">
        <f t="shared" si="12"/>
        <v>0</v>
      </c>
      <c r="T117">
        <f>SUM($S$26:S118)</f>
        <v>0</v>
      </c>
    </row>
    <row r="118" spans="1:20" x14ac:dyDescent="0.2">
      <c r="A118" s="6"/>
      <c r="B118" s="7"/>
      <c r="C118" s="9" t="str">
        <f t="shared" si="21"/>
        <v/>
      </c>
      <c r="D118" s="25" t="str">
        <f t="shared" si="14"/>
        <v/>
      </c>
      <c r="E118" s="21" t="str">
        <f t="shared" si="15"/>
        <v/>
      </c>
      <c r="F118" s="21" t="str">
        <f t="shared" si="16"/>
        <v/>
      </c>
      <c r="G118" s="21"/>
      <c r="H118" s="21"/>
      <c r="J118" s="5"/>
      <c r="K118" s="29"/>
      <c r="M118" s="15">
        <f t="shared" si="17"/>
        <v>-215.9731870528725</v>
      </c>
      <c r="N118" s="15">
        <f t="shared" si="18"/>
        <v>215.9731870528725</v>
      </c>
      <c r="P118" s="9">
        <v>94</v>
      </c>
      <c r="Q118" s="20">
        <f t="shared" si="19"/>
        <v>0</v>
      </c>
      <c r="R118" s="20">
        <f t="shared" si="20"/>
        <v>0</v>
      </c>
      <c r="S118" s="5">
        <f t="shared" si="12"/>
        <v>0</v>
      </c>
      <c r="T118">
        <f>SUM($S$26:S119)</f>
        <v>0</v>
      </c>
    </row>
    <row r="119" spans="1:20" x14ac:dyDescent="0.2">
      <c r="A119" s="6"/>
      <c r="B119" s="7"/>
      <c r="C119" s="9" t="str">
        <f t="shared" si="21"/>
        <v/>
      </c>
      <c r="D119" s="25" t="str">
        <f t="shared" si="14"/>
        <v/>
      </c>
      <c r="E119" s="21" t="str">
        <f t="shared" si="15"/>
        <v/>
      </c>
      <c r="F119" s="21" t="str">
        <f t="shared" si="16"/>
        <v/>
      </c>
      <c r="G119" s="21"/>
      <c r="H119" s="21"/>
      <c r="J119" s="11"/>
      <c r="K119" s="30"/>
      <c r="M119" s="15">
        <f t="shared" si="17"/>
        <v>-215.9731870528725</v>
      </c>
      <c r="N119" s="15">
        <f t="shared" si="18"/>
        <v>215.9731870528725</v>
      </c>
      <c r="P119" s="9">
        <v>95</v>
      </c>
      <c r="Q119" s="20">
        <f t="shared" si="19"/>
        <v>0</v>
      </c>
      <c r="R119" s="20">
        <f t="shared" si="20"/>
        <v>0</v>
      </c>
      <c r="S119" s="5">
        <f t="shared" si="12"/>
        <v>0</v>
      </c>
      <c r="T119">
        <f>SUM($S$26:S120)</f>
        <v>0</v>
      </c>
    </row>
    <row r="120" spans="1:20" x14ac:dyDescent="0.2">
      <c r="A120" s="6"/>
      <c r="B120" s="7"/>
      <c r="C120" s="9" t="str">
        <f t="shared" si="21"/>
        <v/>
      </c>
      <c r="D120" s="25" t="str">
        <f t="shared" si="14"/>
        <v/>
      </c>
      <c r="E120" s="21" t="str">
        <f t="shared" si="15"/>
        <v/>
      </c>
      <c r="F120" s="21" t="str">
        <f t="shared" si="16"/>
        <v/>
      </c>
      <c r="G120" s="21"/>
      <c r="H120" s="21"/>
      <c r="J120" s="11"/>
      <c r="K120" s="30"/>
      <c r="M120" s="15">
        <f t="shared" si="17"/>
        <v>-215.9731870528725</v>
      </c>
      <c r="N120" s="15">
        <f t="shared" si="18"/>
        <v>215.9731870528725</v>
      </c>
      <c r="P120" s="9">
        <v>96</v>
      </c>
      <c r="Q120" s="20">
        <f t="shared" si="19"/>
        <v>0</v>
      </c>
      <c r="R120" s="20">
        <f t="shared" si="20"/>
        <v>0</v>
      </c>
      <c r="S120" s="5">
        <f t="shared" si="12"/>
        <v>0</v>
      </c>
      <c r="T120">
        <f>SUM($S$26:S121)</f>
        <v>0</v>
      </c>
    </row>
    <row r="121" spans="1:20" x14ac:dyDescent="0.2">
      <c r="D121" s="21"/>
      <c r="E121" s="21"/>
      <c r="G121" s="21"/>
      <c r="J121" s="11"/>
      <c r="K121" s="30"/>
      <c r="N121" s="11"/>
      <c r="O121" s="11"/>
    </row>
    <row r="122" spans="1:20" x14ac:dyDescent="0.2">
      <c r="D122" s="21"/>
      <c r="E122" s="21"/>
      <c r="G122" s="21"/>
      <c r="J122" s="11"/>
      <c r="K122" s="30"/>
      <c r="N122" s="11"/>
      <c r="O122" s="11"/>
    </row>
    <row r="123" spans="1:20" x14ac:dyDescent="0.2">
      <c r="D123" s="21"/>
      <c r="E123" s="21"/>
      <c r="G123" s="21"/>
      <c r="J123" s="11"/>
      <c r="K123" s="30"/>
      <c r="N123" s="11"/>
      <c r="O123" s="11"/>
    </row>
    <row r="124" spans="1:20" x14ac:dyDescent="0.2">
      <c r="D124" s="21"/>
      <c r="E124" s="21"/>
      <c r="G124" s="21"/>
      <c r="J124" s="11"/>
      <c r="K124" s="30"/>
      <c r="N124" s="11"/>
      <c r="O124" s="11"/>
    </row>
    <row r="125" spans="1:20" x14ac:dyDescent="0.2">
      <c r="D125" s="21"/>
      <c r="E125" s="21"/>
      <c r="G125" s="21"/>
      <c r="J125" s="11"/>
      <c r="K125" s="30"/>
      <c r="N125" s="11"/>
      <c r="O125" s="11"/>
    </row>
    <row r="126" spans="1:20" x14ac:dyDescent="0.2">
      <c r="D126" s="21"/>
      <c r="E126" s="21"/>
      <c r="G126" s="21"/>
      <c r="J126" s="11"/>
      <c r="K126" s="30"/>
      <c r="N126" s="11"/>
      <c r="O126" s="11"/>
    </row>
    <row r="127" spans="1:20" x14ac:dyDescent="0.2">
      <c r="D127" s="21"/>
      <c r="E127" s="21"/>
      <c r="G127" s="21"/>
      <c r="J127" s="11"/>
      <c r="K127" s="30"/>
      <c r="N127" s="11"/>
      <c r="O127" s="11"/>
    </row>
    <row r="128" spans="1:20" x14ac:dyDescent="0.2">
      <c r="D128" s="21"/>
      <c r="E128" s="21"/>
      <c r="G128" s="21"/>
      <c r="J128" s="11"/>
      <c r="K128" s="30"/>
      <c r="N128" s="11"/>
      <c r="O128" s="11"/>
    </row>
    <row r="129" spans="4:15" x14ac:dyDescent="0.2">
      <c r="D129" s="21"/>
      <c r="E129" s="21"/>
      <c r="G129" s="21"/>
      <c r="J129" s="11"/>
      <c r="K129" s="30"/>
      <c r="N129" s="11"/>
      <c r="O129" s="11"/>
    </row>
    <row r="130" spans="4:15" x14ac:dyDescent="0.2">
      <c r="D130" s="21"/>
      <c r="E130" s="21"/>
      <c r="G130" s="21"/>
      <c r="J130" s="11"/>
      <c r="K130" s="30"/>
      <c r="N130" s="11"/>
      <c r="O130" s="11"/>
    </row>
    <row r="131" spans="4:15" x14ac:dyDescent="0.2">
      <c r="D131" s="21"/>
      <c r="E131" s="21"/>
      <c r="G131" s="21"/>
      <c r="J131" s="11"/>
      <c r="K131" s="30"/>
      <c r="N131" s="11"/>
      <c r="O131" s="11"/>
    </row>
    <row r="132" spans="4:15" x14ac:dyDescent="0.2">
      <c r="D132" s="21"/>
      <c r="E132" s="21"/>
      <c r="G132" s="21"/>
      <c r="J132" s="11"/>
      <c r="K132" s="30"/>
      <c r="N132" s="11"/>
      <c r="O132" s="11"/>
    </row>
    <row r="133" spans="4:15" x14ac:dyDescent="0.2">
      <c r="D133" s="21"/>
      <c r="E133" s="21"/>
      <c r="F133" s="21"/>
      <c r="J133" s="11"/>
      <c r="K133" s="30"/>
      <c r="N133" s="11"/>
      <c r="O133" s="11"/>
    </row>
    <row r="134" spans="4:15" x14ac:dyDescent="0.2">
      <c r="D134" s="21"/>
      <c r="E134" s="21"/>
      <c r="F134" s="21"/>
      <c r="J134" s="11"/>
      <c r="K134" s="30"/>
      <c r="N134" s="11"/>
      <c r="O134" s="11"/>
    </row>
    <row r="135" spans="4:15" x14ac:dyDescent="0.2">
      <c r="D135" s="21"/>
      <c r="E135" s="21"/>
      <c r="F135" s="21"/>
      <c r="J135" s="11"/>
      <c r="K135" s="30"/>
      <c r="N135" s="11"/>
      <c r="O135" s="11"/>
    </row>
    <row r="136" spans="4:15" x14ac:dyDescent="0.2">
      <c r="D136" s="21"/>
      <c r="E136" s="21"/>
      <c r="F136" s="21"/>
      <c r="J136" s="3"/>
      <c r="K136" s="31"/>
      <c r="N136" s="11"/>
      <c r="O136" s="11"/>
    </row>
    <row r="137" spans="4:15" x14ac:dyDescent="0.2">
      <c r="D137" s="21"/>
      <c r="E137" s="21"/>
      <c r="F137" s="21"/>
      <c r="J137" s="3"/>
      <c r="K137" s="31"/>
      <c r="N137" s="3"/>
      <c r="O137" s="3"/>
    </row>
    <row r="138" spans="4:15" x14ac:dyDescent="0.2">
      <c r="D138" s="21"/>
      <c r="E138" s="21"/>
      <c r="F138" s="21"/>
      <c r="J138" s="3"/>
      <c r="K138" s="31"/>
      <c r="N138" s="3"/>
      <c r="O138" s="3"/>
    </row>
    <row r="139" spans="4:15" x14ac:dyDescent="0.2">
      <c r="D139" s="21"/>
      <c r="E139" s="21"/>
      <c r="F139" s="21"/>
      <c r="J139" s="3"/>
      <c r="K139" s="31"/>
      <c r="N139" s="3"/>
      <c r="O139" s="3"/>
    </row>
    <row r="140" spans="4:15" x14ac:dyDescent="0.2">
      <c r="D140" s="21"/>
      <c r="E140" s="21"/>
      <c r="F140" s="21"/>
      <c r="J140" s="3"/>
      <c r="K140" s="31"/>
      <c r="N140" s="3"/>
      <c r="O140" s="3"/>
    </row>
    <row r="141" spans="4:15" x14ac:dyDescent="0.2">
      <c r="D141" s="21"/>
      <c r="E141" s="21"/>
      <c r="F141" s="21"/>
      <c r="J141" s="3"/>
      <c r="K141" s="31"/>
      <c r="N141" s="3"/>
      <c r="O141" s="3"/>
    </row>
    <row r="142" spans="4:15" x14ac:dyDescent="0.2">
      <c r="D142" s="21"/>
      <c r="E142" s="21"/>
      <c r="F142" s="21"/>
      <c r="J142" s="3"/>
      <c r="K142" s="31"/>
      <c r="N142" s="3"/>
      <c r="O142" s="3"/>
    </row>
    <row r="143" spans="4:15" x14ac:dyDescent="0.2">
      <c r="D143" s="21"/>
      <c r="E143" s="21"/>
      <c r="F143" s="21"/>
      <c r="J143" s="3"/>
      <c r="K143" s="31"/>
      <c r="N143" s="3"/>
      <c r="O143" s="3"/>
    </row>
    <row r="144" spans="4:15" x14ac:dyDescent="0.2">
      <c r="D144" s="21"/>
      <c r="E144" s="21"/>
      <c r="F144" s="21"/>
      <c r="J144" s="3"/>
      <c r="K144" s="31"/>
      <c r="N144" s="3"/>
      <c r="O144" s="3"/>
    </row>
    <row r="145" spans="4:15" x14ac:dyDescent="0.2">
      <c r="D145" s="21"/>
      <c r="E145" s="21"/>
      <c r="F145" s="21"/>
      <c r="J145" s="3"/>
      <c r="K145" s="31"/>
      <c r="N145" s="3"/>
      <c r="O145" s="3"/>
    </row>
    <row r="146" spans="4:15" x14ac:dyDescent="0.2">
      <c r="D146" s="21"/>
      <c r="E146" s="21"/>
      <c r="F146" s="21"/>
      <c r="J146" s="3"/>
      <c r="K146" s="31"/>
      <c r="N146" s="3"/>
      <c r="O146" s="3"/>
    </row>
    <row r="147" spans="4:15" x14ac:dyDescent="0.2">
      <c r="D147" s="21"/>
      <c r="E147" s="21"/>
      <c r="F147" s="21"/>
      <c r="J147" s="3"/>
      <c r="K147" s="31"/>
      <c r="N147" s="3"/>
      <c r="O147" s="3"/>
    </row>
    <row r="148" spans="4:15" x14ac:dyDescent="0.2">
      <c r="D148" s="21"/>
      <c r="E148" s="21"/>
      <c r="F148" s="21"/>
      <c r="J148" s="3"/>
      <c r="K148" s="31"/>
      <c r="N148" s="3"/>
      <c r="O148" s="3"/>
    </row>
    <row r="149" spans="4:15" x14ac:dyDescent="0.2">
      <c r="D149" s="21"/>
      <c r="E149" s="21"/>
      <c r="F149" s="21"/>
      <c r="J149" s="3"/>
      <c r="K149" s="31"/>
      <c r="N149" s="3"/>
      <c r="O149" s="3"/>
    </row>
    <row r="150" spans="4:15" x14ac:dyDescent="0.2">
      <c r="D150" s="21"/>
      <c r="E150" s="21"/>
      <c r="F150" s="21"/>
      <c r="J150" s="3"/>
      <c r="K150" s="31"/>
      <c r="N150" s="3"/>
      <c r="O150" s="3"/>
    </row>
    <row r="151" spans="4:15" x14ac:dyDescent="0.2">
      <c r="D151" s="21"/>
      <c r="E151" s="21"/>
      <c r="F151" s="21"/>
      <c r="J151" s="3"/>
      <c r="K151" s="31"/>
      <c r="N151" s="3"/>
      <c r="O151" s="3"/>
    </row>
    <row r="152" spans="4:15" x14ac:dyDescent="0.2">
      <c r="D152" s="21"/>
      <c r="E152" s="21"/>
      <c r="F152" s="21"/>
      <c r="H152" s="3"/>
      <c r="I152" s="3"/>
      <c r="J152" s="3"/>
      <c r="K152" s="31"/>
      <c r="N152" s="3"/>
      <c r="O152" s="3"/>
    </row>
    <row r="153" spans="4:15" x14ac:dyDescent="0.2">
      <c r="D153" s="21"/>
      <c r="E153" s="21"/>
      <c r="F153" s="21"/>
      <c r="H153" s="3"/>
      <c r="I153" s="3"/>
      <c r="J153" s="3"/>
      <c r="K153" s="31"/>
      <c r="M153" s="3"/>
      <c r="N153" s="3"/>
      <c r="O153" s="3"/>
    </row>
    <row r="154" spans="4:15" x14ac:dyDescent="0.2">
      <c r="D154" s="21"/>
      <c r="E154" s="21"/>
      <c r="F154" s="21"/>
      <c r="H154" s="3"/>
      <c r="I154" s="3"/>
      <c r="J154" s="3"/>
      <c r="K154" s="31"/>
      <c r="M154" s="3"/>
      <c r="N154" s="3"/>
      <c r="O154" s="3"/>
    </row>
    <row r="155" spans="4:15" x14ac:dyDescent="0.2">
      <c r="D155" s="21"/>
      <c r="E155" s="21"/>
      <c r="F155" s="21"/>
    </row>
    <row r="156" spans="4:15" x14ac:dyDescent="0.2">
      <c r="D156" s="21"/>
      <c r="E156" s="21"/>
      <c r="F156" s="21"/>
    </row>
    <row r="157" spans="4:15" x14ac:dyDescent="0.2">
      <c r="D157" s="21"/>
      <c r="E157" s="21"/>
      <c r="F157" s="21"/>
    </row>
    <row r="158" spans="4:15" x14ac:dyDescent="0.2">
      <c r="D158" s="21"/>
      <c r="E158" s="21"/>
      <c r="F158" s="21"/>
    </row>
    <row r="159" spans="4:15" x14ac:dyDescent="0.2">
      <c r="D159" s="21"/>
      <c r="E159" s="21"/>
      <c r="F159" s="21"/>
    </row>
    <row r="160" spans="4:15" x14ac:dyDescent="0.2">
      <c r="D160" s="21"/>
      <c r="E160" s="21"/>
      <c r="F160" s="21"/>
    </row>
    <row r="161" spans="4:6" x14ac:dyDescent="0.2">
      <c r="D161" s="21"/>
      <c r="E161" s="21"/>
      <c r="F161" s="21"/>
    </row>
    <row r="162" spans="4:6" x14ac:dyDescent="0.2">
      <c r="D162" s="21"/>
      <c r="E162" s="21"/>
      <c r="F162" s="21"/>
    </row>
    <row r="163" spans="4:6" x14ac:dyDescent="0.2">
      <c r="D163" s="21"/>
      <c r="E163" s="21"/>
      <c r="F163" s="21"/>
    </row>
    <row r="164" spans="4:6" x14ac:dyDescent="0.2">
      <c r="D164" s="21"/>
      <c r="E164" s="21"/>
      <c r="F164" s="21"/>
    </row>
    <row r="165" spans="4:6" x14ac:dyDescent="0.2">
      <c r="D165" s="21"/>
      <c r="E165" s="21"/>
      <c r="F165" s="21"/>
    </row>
    <row r="166" spans="4:6" x14ac:dyDescent="0.2">
      <c r="D166" s="21"/>
      <c r="E166" s="21"/>
      <c r="F166" s="21"/>
    </row>
    <row r="167" spans="4:6" x14ac:dyDescent="0.2">
      <c r="D167" s="21"/>
      <c r="E167" s="21"/>
      <c r="F167" s="21"/>
    </row>
    <row r="168" spans="4:6" x14ac:dyDescent="0.2">
      <c r="D168" s="21"/>
      <c r="E168" s="21"/>
      <c r="F168" s="21"/>
    </row>
    <row r="169" spans="4:6" x14ac:dyDescent="0.2">
      <c r="D169" s="21"/>
      <c r="E169" s="21"/>
      <c r="F169" s="21"/>
    </row>
    <row r="170" spans="4:6" x14ac:dyDescent="0.2">
      <c r="D170" s="21"/>
      <c r="E170" s="21"/>
      <c r="F170" s="21"/>
    </row>
    <row r="171" spans="4:6" x14ac:dyDescent="0.2">
      <c r="D171" s="21"/>
      <c r="E171" s="21"/>
      <c r="F171" s="21"/>
    </row>
    <row r="172" spans="4:6" x14ac:dyDescent="0.2">
      <c r="D172" s="21"/>
      <c r="E172" s="21"/>
      <c r="F172" s="21"/>
    </row>
    <row r="173" spans="4:6" x14ac:dyDescent="0.2">
      <c r="D173" s="21"/>
      <c r="E173" s="21"/>
      <c r="F173" s="21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</sheetData>
  <mergeCells count="2">
    <mergeCell ref="B22:C22"/>
    <mergeCell ref="M23:N23"/>
  </mergeCells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1196-05C3-4A3D-9724-6605B9D13124}">
  <sheetPr>
    <pageSetUpPr fitToPage="1"/>
  </sheetPr>
  <dimension ref="A1:W644"/>
  <sheetViews>
    <sheetView zoomScaleNormal="100" workbookViewId="0">
      <selection activeCell="D20" sqref="D20"/>
    </sheetView>
  </sheetViews>
  <sheetFormatPr baseColWidth="10" defaultRowHeight="12.75" x14ac:dyDescent="0.2"/>
  <cols>
    <col min="1" max="1" width="10" customWidth="1"/>
    <col min="2" max="3" width="13.42578125" customWidth="1"/>
    <col min="4" max="4" width="12.7109375" customWidth="1"/>
    <col min="5" max="5" width="14.7109375" customWidth="1"/>
    <col min="6" max="6" width="13.42578125" customWidth="1"/>
    <col min="7" max="7" width="15.7109375" customWidth="1"/>
    <col min="8" max="8" width="12.85546875" customWidth="1"/>
    <col min="9" max="9" width="13.42578125" customWidth="1"/>
    <col min="10" max="10" width="6.28515625" customWidth="1"/>
    <col min="11" max="11" width="1.42578125" style="27" customWidth="1"/>
    <col min="12" max="12" width="5.5703125" customWidth="1"/>
    <col min="13" max="13" width="19" customWidth="1"/>
    <col min="14" max="14" width="12.7109375" customWidth="1"/>
    <col min="15" max="15" width="15" customWidth="1"/>
    <col min="16" max="16" width="14.28515625" customWidth="1"/>
    <col min="17" max="18" width="12.7109375" customWidth="1"/>
    <col min="19" max="19" width="15.140625" customWidth="1"/>
    <col min="20" max="20" width="15.7109375" customWidth="1"/>
    <col min="21" max="21" width="14.140625" customWidth="1"/>
    <col min="22" max="22" width="15.42578125" customWidth="1"/>
    <col min="23" max="256" width="9.140625" customWidth="1"/>
  </cols>
  <sheetData>
    <row r="1" spans="1:21" x14ac:dyDescent="0.2">
      <c r="A1" s="1" t="s">
        <v>84</v>
      </c>
      <c r="D1" s="1" t="s">
        <v>46</v>
      </c>
      <c r="G1" s="13" t="s">
        <v>7</v>
      </c>
      <c r="H1" s="5"/>
      <c r="I1" s="5"/>
      <c r="M1" t="s">
        <v>49</v>
      </c>
    </row>
    <row r="2" spans="1:21" ht="13.5" thickBot="1" x14ac:dyDescent="0.25">
      <c r="A2" s="33" t="s">
        <v>92</v>
      </c>
      <c r="G2" s="13" t="s">
        <v>23</v>
      </c>
      <c r="H2" s="5"/>
      <c r="I2" s="14">
        <f>IF(C15=0,0,SQRT(I6))</f>
        <v>70.860574439844456</v>
      </c>
    </row>
    <row r="3" spans="1:21" x14ac:dyDescent="0.2">
      <c r="A3" s="33" t="s">
        <v>85</v>
      </c>
      <c r="G3" s="13" t="s">
        <v>8</v>
      </c>
      <c r="H3" s="5"/>
      <c r="I3" s="14">
        <f>3*I2</f>
        <v>212.58172331953335</v>
      </c>
      <c r="M3" s="36" t="s">
        <v>50</v>
      </c>
      <c r="N3" s="36"/>
    </row>
    <row r="4" spans="1:21" x14ac:dyDescent="0.2">
      <c r="A4" s="5" t="s">
        <v>6</v>
      </c>
      <c r="G4" s="1"/>
      <c r="H4" s="5"/>
      <c r="I4" s="14"/>
      <c r="M4" t="s">
        <v>51</v>
      </c>
      <c r="N4">
        <v>0.92109975687643542</v>
      </c>
    </row>
    <row r="5" spans="1:21" x14ac:dyDescent="0.2">
      <c r="A5" s="33" t="s">
        <v>87</v>
      </c>
      <c r="G5" s="13" t="s">
        <v>24</v>
      </c>
      <c r="H5" s="5"/>
      <c r="I5" s="14">
        <f>VLOOKUP($C$10,$P$25:$R$120,3)</f>
        <v>20084.88403977895</v>
      </c>
      <c r="M5" t="s">
        <v>52</v>
      </c>
      <c r="N5">
        <v>0.84842476211782836</v>
      </c>
    </row>
    <row r="6" spans="1:21" x14ac:dyDescent="0.2">
      <c r="A6" s="5" t="s">
        <v>35</v>
      </c>
      <c r="G6" s="13" t="s">
        <v>18</v>
      </c>
      <c r="H6" s="5"/>
      <c r="I6" s="19">
        <f>I5/$C$10</f>
        <v>5021.2210099447375</v>
      </c>
      <c r="M6" t="s">
        <v>53</v>
      </c>
      <c r="N6">
        <v>0.77263714317674248</v>
      </c>
    </row>
    <row r="7" spans="1:21" x14ac:dyDescent="0.2">
      <c r="A7" s="5" t="s">
        <v>36</v>
      </c>
      <c r="D7" s="5"/>
      <c r="E7" s="2"/>
      <c r="G7" s="13" t="s">
        <v>25</v>
      </c>
      <c r="H7" s="5"/>
      <c r="I7" s="14">
        <f>VLOOKUP($C$15,$P$25:$R$120,3)</f>
        <v>20084.88403977895</v>
      </c>
      <c r="M7" t="s">
        <v>54</v>
      </c>
      <c r="N7">
        <v>1.9564687979642875E-2</v>
      </c>
    </row>
    <row r="8" spans="1:21" ht="13.5" thickBot="1" x14ac:dyDescent="0.25">
      <c r="G8" s="13" t="s">
        <v>26</v>
      </c>
      <c r="H8" s="5"/>
      <c r="I8" s="14">
        <f>I7-I5</f>
        <v>0</v>
      </c>
      <c r="M8" s="34" t="s">
        <v>55</v>
      </c>
      <c r="N8" s="34">
        <v>4</v>
      </c>
    </row>
    <row r="9" spans="1:21" x14ac:dyDescent="0.2">
      <c r="A9" s="13" t="s">
        <v>14</v>
      </c>
      <c r="B9" s="5"/>
      <c r="C9" s="5"/>
      <c r="G9" s="13" t="s">
        <v>27</v>
      </c>
      <c r="H9" s="5"/>
      <c r="I9" s="5">
        <f>$C$15-$C$10</f>
        <v>0</v>
      </c>
    </row>
    <row r="10" spans="1:21" ht="13.5" thickBot="1" x14ac:dyDescent="0.25">
      <c r="A10" s="13" t="s">
        <v>22</v>
      </c>
      <c r="B10" s="5"/>
      <c r="C10" s="6">
        <v>4</v>
      </c>
      <c r="G10" s="13" t="s">
        <v>19</v>
      </c>
      <c r="H10" s="5"/>
      <c r="I10" s="14">
        <f>IF(I9=0,0,+I8/I9)</f>
        <v>0</v>
      </c>
      <c r="M10" t="s">
        <v>56</v>
      </c>
    </row>
    <row r="11" spans="1:21" x14ac:dyDescent="0.2">
      <c r="A11" s="13" t="s">
        <v>15</v>
      </c>
      <c r="B11" s="5"/>
      <c r="C11" s="6">
        <v>2046</v>
      </c>
      <c r="D11" s="17"/>
      <c r="G11" s="1"/>
      <c r="H11" s="5"/>
      <c r="I11" s="14"/>
      <c r="M11" s="35"/>
      <c r="N11" s="35" t="s">
        <v>60</v>
      </c>
      <c r="O11" s="35" t="s">
        <v>61</v>
      </c>
      <c r="P11" s="35" t="s">
        <v>62</v>
      </c>
      <c r="Q11" s="35" t="s">
        <v>1</v>
      </c>
      <c r="R11" s="35" t="s">
        <v>63</v>
      </c>
    </row>
    <row r="12" spans="1:21" x14ac:dyDescent="0.2">
      <c r="D12" s="8"/>
      <c r="G12" s="13" t="s">
        <v>28</v>
      </c>
      <c r="H12" s="5"/>
      <c r="I12" s="14">
        <f>VLOOKUP($C$10,$P$25:$R$120,2)</f>
        <v>243.89537759648738</v>
      </c>
      <c r="M12" t="s">
        <v>57</v>
      </c>
      <c r="N12">
        <v>1</v>
      </c>
      <c r="O12">
        <v>4.2850996384580786E-3</v>
      </c>
      <c r="P12">
        <v>4.2850996384580786E-3</v>
      </c>
      <c r="Q12">
        <v>11.194767350817006</v>
      </c>
      <c r="R12">
        <v>7.8900243123564584E-2</v>
      </c>
    </row>
    <row r="13" spans="1:21" x14ac:dyDescent="0.2">
      <c r="G13" s="13" t="s">
        <v>20</v>
      </c>
      <c r="H13" s="5"/>
      <c r="I13" s="19">
        <f>I12/$C$10</f>
        <v>60.973844399121845</v>
      </c>
      <c r="M13" t="s">
        <v>58</v>
      </c>
      <c r="N13">
        <v>2</v>
      </c>
      <c r="O13">
        <v>7.6555403148156486E-4</v>
      </c>
      <c r="P13">
        <v>3.8277701574078243E-4</v>
      </c>
    </row>
    <row r="14" spans="1:21" ht="13.5" thickBot="1" x14ac:dyDescent="0.25">
      <c r="A14" s="13" t="s">
        <v>16</v>
      </c>
      <c r="B14" s="5"/>
      <c r="G14" s="13" t="s">
        <v>29</v>
      </c>
      <c r="H14" s="5"/>
      <c r="I14" s="14">
        <f>VLOOKUP($C$15,$P$25:$R$120,2)</f>
        <v>243.89537759648738</v>
      </c>
      <c r="M14" s="34" t="s">
        <v>0</v>
      </c>
      <c r="N14" s="34">
        <v>3</v>
      </c>
      <c r="O14" s="34">
        <v>5.0506536699396433E-3</v>
      </c>
      <c r="P14" s="34"/>
      <c r="Q14" s="34"/>
      <c r="R14" s="34"/>
    </row>
    <row r="15" spans="1:21" ht="13.5" thickBot="1" x14ac:dyDescent="0.25">
      <c r="A15" s="13" t="s">
        <v>9</v>
      </c>
      <c r="B15" s="5"/>
      <c r="C15" s="8">
        <f>COUNT(B25:B120)</f>
        <v>4</v>
      </c>
      <c r="G15" s="13" t="s">
        <v>30</v>
      </c>
      <c r="H15" s="5"/>
      <c r="I15" s="14">
        <f>I14-I12</f>
        <v>0</v>
      </c>
    </row>
    <row r="16" spans="1:21" x14ac:dyDescent="0.2">
      <c r="A16" s="13" t="s">
        <v>17</v>
      </c>
      <c r="B16" s="5"/>
      <c r="C16" s="8">
        <f>VLOOKUP(C15,P25:T120,5)</f>
        <v>0</v>
      </c>
      <c r="G16" s="13" t="s">
        <v>27</v>
      </c>
      <c r="H16" s="5"/>
      <c r="I16" s="5">
        <f>$C$15-$C$10</f>
        <v>0</v>
      </c>
      <c r="M16" s="35"/>
      <c r="N16" s="35" t="s">
        <v>64</v>
      </c>
      <c r="O16" s="35" t="s">
        <v>54</v>
      </c>
      <c r="P16" s="35" t="s">
        <v>65</v>
      </c>
      <c r="Q16" s="35" t="s">
        <v>66</v>
      </c>
      <c r="R16" s="35" t="s">
        <v>67</v>
      </c>
      <c r="S16" s="35" t="s">
        <v>68</v>
      </c>
      <c r="T16" s="35" t="s">
        <v>69</v>
      </c>
      <c r="U16" s="35" t="s">
        <v>70</v>
      </c>
    </row>
    <row r="17" spans="1:23" x14ac:dyDescent="0.2">
      <c r="A17" s="13" t="s">
        <v>18</v>
      </c>
      <c r="B17" s="5"/>
      <c r="C17" s="18">
        <f>IF(C10=0,0,+I6)</f>
        <v>5021.2210099447375</v>
      </c>
      <c r="G17" s="13" t="s">
        <v>21</v>
      </c>
      <c r="H17" s="5"/>
      <c r="I17" s="14">
        <f>IF(I16=0,0,+I15/I16)</f>
        <v>0</v>
      </c>
      <c r="M17" t="s">
        <v>59</v>
      </c>
      <c r="N17">
        <v>-49.943624971679391</v>
      </c>
      <c r="O17">
        <v>17.482558055731403</v>
      </c>
      <c r="P17">
        <v>-2.8567687184259687</v>
      </c>
      <c r="Q17">
        <v>0.10380166847048633</v>
      </c>
      <c r="R17">
        <v>-125.16500111317558</v>
      </c>
      <c r="S17">
        <v>25.277751169816803</v>
      </c>
      <c r="T17">
        <v>-125.16500111317558</v>
      </c>
      <c r="U17">
        <v>25.277751169816803</v>
      </c>
    </row>
    <row r="18" spans="1:23" ht="13.5" thickBot="1" x14ac:dyDescent="0.25">
      <c r="A18" s="13" t="s">
        <v>19</v>
      </c>
      <c r="B18" s="5"/>
      <c r="C18" s="18">
        <f>IF(C15=0,0,+I10)</f>
        <v>0</v>
      </c>
      <c r="G18" s="13" t="s">
        <v>31</v>
      </c>
      <c r="H18" s="5"/>
      <c r="I18" s="5">
        <f>C11</f>
        <v>2046</v>
      </c>
      <c r="M18" s="34" t="s">
        <v>71</v>
      </c>
      <c r="N18" s="34">
        <v>7.6929147796688744</v>
      </c>
      <c r="O18" s="34">
        <v>2.2992351234736481</v>
      </c>
      <c r="P18" s="34">
        <v>3.345858238302545</v>
      </c>
      <c r="Q18" s="34">
        <v>7.8900243123564584E-2</v>
      </c>
      <c r="R18" s="34">
        <v>-2.1998955006808627</v>
      </c>
      <c r="S18" s="34">
        <v>17.585725060018611</v>
      </c>
      <c r="T18" s="34">
        <v>-2.1998955006808627</v>
      </c>
      <c r="U18" s="34">
        <v>17.585725060018611</v>
      </c>
    </row>
    <row r="19" spans="1:23" x14ac:dyDescent="0.2">
      <c r="A19" s="13" t="s">
        <v>20</v>
      </c>
      <c r="B19" s="5"/>
      <c r="C19" s="18">
        <f>IF(C10=0,0,+I13)</f>
        <v>60.973844399121845</v>
      </c>
    </row>
    <row r="20" spans="1:23" x14ac:dyDescent="0.2">
      <c r="A20" s="13" t="s">
        <v>21</v>
      </c>
      <c r="B20" s="5"/>
      <c r="C20" s="18">
        <f>IF(C15=0,0,+I17)</f>
        <v>0</v>
      </c>
      <c r="W20" s="10"/>
    </row>
    <row r="21" spans="1:23" x14ac:dyDescent="0.2">
      <c r="F21" s="12"/>
      <c r="J21" s="16"/>
      <c r="K21" s="28"/>
      <c r="L21" s="16"/>
    </row>
    <row r="22" spans="1:23" x14ac:dyDescent="0.2">
      <c r="D22" s="42" t="s">
        <v>48</v>
      </c>
      <c r="E22" s="43"/>
      <c r="J22" s="16"/>
      <c r="K22" s="28"/>
    </row>
    <row r="23" spans="1:23" x14ac:dyDescent="0.2">
      <c r="D23" s="26" t="s">
        <v>42</v>
      </c>
      <c r="E23" s="26" t="s">
        <v>43</v>
      </c>
      <c r="J23" s="5"/>
      <c r="K23" s="29"/>
      <c r="M23" s="40" t="s">
        <v>10</v>
      </c>
      <c r="N23" s="40"/>
      <c r="Q23" s="4" t="s">
        <v>38</v>
      </c>
      <c r="R23" s="4" t="s">
        <v>32</v>
      </c>
      <c r="S23" s="16" t="s">
        <v>10</v>
      </c>
      <c r="T23" s="4" t="s">
        <v>32</v>
      </c>
    </row>
    <row r="24" spans="1:23" x14ac:dyDescent="0.2">
      <c r="A24" s="4" t="s">
        <v>45</v>
      </c>
      <c r="B24" s="4" t="s">
        <v>44</v>
      </c>
      <c r="C24" s="4" t="s">
        <v>5</v>
      </c>
      <c r="D24" s="4" t="s">
        <v>83</v>
      </c>
      <c r="E24" s="4" t="s">
        <v>40</v>
      </c>
      <c r="F24" s="4" t="s">
        <v>41</v>
      </c>
      <c r="G24" s="32" t="s">
        <v>2</v>
      </c>
      <c r="H24" s="4" t="s">
        <v>3</v>
      </c>
      <c r="I24" s="4" t="s">
        <v>4</v>
      </c>
      <c r="J24" s="5"/>
      <c r="K24" s="29"/>
      <c r="M24" s="4" t="s">
        <v>11</v>
      </c>
      <c r="N24" s="4" t="s">
        <v>12</v>
      </c>
      <c r="P24" s="4" t="s">
        <v>5</v>
      </c>
      <c r="Q24" s="4" t="s">
        <v>33</v>
      </c>
      <c r="R24" s="4" t="s">
        <v>34</v>
      </c>
      <c r="S24" s="16" t="s">
        <v>13</v>
      </c>
      <c r="T24" s="4" t="s">
        <v>37</v>
      </c>
    </row>
    <row r="25" spans="1:23" x14ac:dyDescent="0.2">
      <c r="A25" s="6">
        <v>1993</v>
      </c>
      <c r="B25" s="23">
        <v>4963</v>
      </c>
      <c r="C25" s="9">
        <f>IF(A25="","",A25)</f>
        <v>1993</v>
      </c>
      <c r="D25" s="24">
        <f>IF(A25="","",LN(C25))</f>
        <v>7.5973963202127948</v>
      </c>
      <c r="E25" s="24">
        <f t="shared" ref="E25:E56" si="0">IF(A25="","",IF(B25="",NA(),LN(B25)))</f>
        <v>8.50976567558744</v>
      </c>
      <c r="F25" s="21">
        <f>IF(A25="","",$N$17+$N$18*D25)</f>
        <v>8.5024974670875366</v>
      </c>
      <c r="G25" s="21">
        <f t="shared" ref="G25:G56" si="1">IF(A25="","",EXP(F25))</f>
        <v>4927.0586540353106</v>
      </c>
      <c r="H25" s="21">
        <f t="shared" ref="H25:H56" si="2">IF(A25="","",IF(B25="",NA(),B25-G25))</f>
        <v>35.94134596468939</v>
      </c>
      <c r="I25" s="21">
        <f t="shared" ref="I25:I56" si="3">IF(A25="","",IF(B25="",NA(),H25^2))</f>
        <v>1291.7803497534942</v>
      </c>
      <c r="J25" s="5"/>
      <c r="K25" s="29"/>
      <c r="M25" s="15">
        <f>-$I$3</f>
        <v>-212.58172331953335</v>
      </c>
      <c r="N25" s="15">
        <f>$I$3</f>
        <v>212.58172331953335</v>
      </c>
      <c r="P25" s="9">
        <v>1</v>
      </c>
      <c r="Q25" s="20">
        <f>ABS(H25)</f>
        <v>35.94134596468939</v>
      </c>
      <c r="R25" s="20">
        <f>H25^2</f>
        <v>1291.7803497534942</v>
      </c>
      <c r="S25" s="5">
        <f t="shared" ref="S25:S56" si="4">IF(C25&gt;$C$15,0,IF(ABS(H25)&gt;=$I$3,1,0))</f>
        <v>0</v>
      </c>
      <c r="T25">
        <f>SUM($S$26:S26)</f>
        <v>0</v>
      </c>
    </row>
    <row r="26" spans="1:23" x14ac:dyDescent="0.2">
      <c r="A26" s="6">
        <v>2005</v>
      </c>
      <c r="B26" s="23">
        <v>5039</v>
      </c>
      <c r="C26" s="9">
        <f t="shared" ref="C26:C89" si="5">IF(A26="","",A26)</f>
        <v>2005</v>
      </c>
      <c r="D26" s="24">
        <f t="shared" ref="D26:D32" si="6">IF(A26="","",LN(C26))</f>
        <v>7.6033993397406698</v>
      </c>
      <c r="E26" s="24">
        <f t="shared" si="0"/>
        <v>8.5249629286805977</v>
      </c>
      <c r="F26" s="21">
        <f t="shared" ref="F26:F89" si="7">IF(A26="","",$N$17+$N$18*D26)</f>
        <v>8.5486781847361684</v>
      </c>
      <c r="G26" s="21">
        <f t="shared" si="1"/>
        <v>5159.9294439868727</v>
      </c>
      <c r="H26" s="21">
        <f t="shared" si="2"/>
        <v>-120.92944398687268</v>
      </c>
      <c r="I26" s="21">
        <f t="shared" si="3"/>
        <v>14623.930422974177</v>
      </c>
      <c r="J26" s="5"/>
      <c r="K26" s="29"/>
      <c r="M26" s="15">
        <f t="shared" ref="M26:M89" si="8">-$I$3</f>
        <v>-212.58172331953335</v>
      </c>
      <c r="N26" s="15">
        <f t="shared" ref="N26:N89" si="9">$I$3</f>
        <v>212.58172331953335</v>
      </c>
      <c r="P26" s="9">
        <v>2</v>
      </c>
      <c r="Q26" s="20">
        <f t="shared" ref="Q26:Q33" si="10">IF(B26="",0,+Q25+ABS(H26))</f>
        <v>156.87078995156207</v>
      </c>
      <c r="R26" s="20">
        <f t="shared" ref="R26:R57" si="11">IF(B26="",0,+R25+H26^2)</f>
        <v>15915.710772727671</v>
      </c>
      <c r="S26" s="5">
        <f t="shared" si="4"/>
        <v>0</v>
      </c>
      <c r="T26">
        <f>SUM($S$26:S27)</f>
        <v>0</v>
      </c>
    </row>
    <row r="27" spans="1:23" x14ac:dyDescent="0.2">
      <c r="A27" s="6">
        <v>2007</v>
      </c>
      <c r="B27" s="23">
        <v>5257</v>
      </c>
      <c r="C27" s="9">
        <f t="shared" si="5"/>
        <v>2007</v>
      </c>
      <c r="D27" s="24">
        <f t="shared" si="6"/>
        <v>7.604396348796338</v>
      </c>
      <c r="E27" s="24">
        <f t="shared" si="0"/>
        <v>8.5673158008194488</v>
      </c>
      <c r="F27" s="21">
        <f t="shared" si="7"/>
        <v>8.5563480904359821</v>
      </c>
      <c r="G27" s="21">
        <f t="shared" si="1"/>
        <v>5199.6577777672628</v>
      </c>
      <c r="H27" s="21">
        <f t="shared" si="2"/>
        <v>57.342222232737186</v>
      </c>
      <c r="I27" s="21">
        <f t="shared" si="3"/>
        <v>3288.1304505886187</v>
      </c>
      <c r="J27" s="5"/>
      <c r="K27" s="29"/>
      <c r="M27" s="15">
        <f t="shared" si="8"/>
        <v>-212.58172331953335</v>
      </c>
      <c r="N27" s="15">
        <f t="shared" si="9"/>
        <v>212.58172331953335</v>
      </c>
      <c r="P27" s="9">
        <v>3</v>
      </c>
      <c r="Q27" s="20">
        <f t="shared" si="10"/>
        <v>214.21301218429926</v>
      </c>
      <c r="R27" s="20">
        <f t="shared" si="11"/>
        <v>19203.841223316289</v>
      </c>
      <c r="S27" s="5">
        <f t="shared" si="4"/>
        <v>0</v>
      </c>
      <c r="T27">
        <f>SUM($S$26:S28)</f>
        <v>0</v>
      </c>
    </row>
    <row r="28" spans="1:23" x14ac:dyDescent="0.2">
      <c r="A28" s="6">
        <v>2017</v>
      </c>
      <c r="B28" s="23">
        <v>5432</v>
      </c>
      <c r="C28" s="9">
        <f t="shared" si="5"/>
        <v>2017</v>
      </c>
      <c r="D28" s="24">
        <f t="shared" si="6"/>
        <v>7.6093665379542115</v>
      </c>
      <c r="E28" s="24">
        <f t="shared" si="0"/>
        <v>8.6000626692385325</v>
      </c>
      <c r="F28" s="21">
        <f t="shared" si="7"/>
        <v>8.5945833320663354</v>
      </c>
      <c r="G28" s="21">
        <f t="shared" si="1"/>
        <v>5402.3176345878119</v>
      </c>
      <c r="H28" s="21">
        <f t="shared" si="2"/>
        <v>29.682365412188119</v>
      </c>
      <c r="I28" s="21">
        <f t="shared" si="3"/>
        <v>881.04281646266156</v>
      </c>
      <c r="J28" s="5"/>
      <c r="K28" s="29"/>
      <c r="M28" s="15">
        <f t="shared" si="8"/>
        <v>-212.58172331953335</v>
      </c>
      <c r="N28" s="15">
        <f t="shared" si="9"/>
        <v>212.58172331953335</v>
      </c>
      <c r="P28" s="9">
        <v>4</v>
      </c>
      <c r="Q28" s="20">
        <f t="shared" si="10"/>
        <v>243.89537759648738</v>
      </c>
      <c r="R28" s="20">
        <f t="shared" si="11"/>
        <v>20084.88403977895</v>
      </c>
      <c r="S28" s="5">
        <f t="shared" si="4"/>
        <v>0</v>
      </c>
      <c r="T28">
        <f>SUM($S$26:S29)</f>
        <v>0</v>
      </c>
    </row>
    <row r="29" spans="1:23" x14ac:dyDescent="0.2">
      <c r="A29" s="38">
        <v>2026</v>
      </c>
      <c r="B29" s="23"/>
      <c r="C29" s="9">
        <f t="shared" si="5"/>
        <v>2026</v>
      </c>
      <c r="D29" s="24">
        <f t="shared" si="6"/>
        <v>7.6138186848086287</v>
      </c>
      <c r="E29" s="24" t="e">
        <f t="shared" si="0"/>
        <v>#N/A</v>
      </c>
      <c r="F29" s="21">
        <f t="shared" si="7"/>
        <v>8.6288333184039416</v>
      </c>
      <c r="G29" s="37">
        <f t="shared" si="1"/>
        <v>5590.5520523620735</v>
      </c>
      <c r="H29" s="21" t="e">
        <f t="shared" si="2"/>
        <v>#N/A</v>
      </c>
      <c r="I29" s="21" t="e">
        <f t="shared" si="3"/>
        <v>#N/A</v>
      </c>
      <c r="J29" s="5"/>
      <c r="K29" s="29"/>
      <c r="M29" s="15">
        <f t="shared" si="8"/>
        <v>-212.58172331953335</v>
      </c>
      <c r="N29" s="15">
        <f t="shared" si="9"/>
        <v>212.58172331953335</v>
      </c>
      <c r="P29" s="9">
        <v>5</v>
      </c>
      <c r="Q29" s="20">
        <f t="shared" si="10"/>
        <v>0</v>
      </c>
      <c r="R29" s="20">
        <f t="shared" si="11"/>
        <v>0</v>
      </c>
      <c r="S29" s="5">
        <f t="shared" si="4"/>
        <v>0</v>
      </c>
      <c r="T29">
        <f>SUM($S$26:S30)</f>
        <v>0</v>
      </c>
    </row>
    <row r="30" spans="1:23" x14ac:dyDescent="0.2">
      <c r="A30" s="38">
        <v>2036</v>
      </c>
      <c r="B30" s="23"/>
      <c r="C30" s="9">
        <f t="shared" si="5"/>
        <v>2036</v>
      </c>
      <c r="D30" s="24">
        <f t="shared" si="6"/>
        <v>7.6187423776704133</v>
      </c>
      <c r="E30" s="24" t="e">
        <f t="shared" si="0"/>
        <v>#N/A</v>
      </c>
      <c r="F30" s="21">
        <f t="shared" si="7"/>
        <v>8.6667108679909148</v>
      </c>
      <c r="G30" s="37">
        <f t="shared" si="1"/>
        <v>5806.3699898855903</v>
      </c>
      <c r="H30" s="21" t="e">
        <f t="shared" si="2"/>
        <v>#N/A</v>
      </c>
      <c r="I30" s="21" t="e">
        <f t="shared" si="3"/>
        <v>#N/A</v>
      </c>
      <c r="J30" s="5"/>
      <c r="K30" s="29"/>
      <c r="M30" s="15">
        <f t="shared" si="8"/>
        <v>-212.58172331953335</v>
      </c>
      <c r="N30" s="15">
        <f t="shared" si="9"/>
        <v>212.58172331953335</v>
      </c>
      <c r="P30" s="9">
        <v>6</v>
      </c>
      <c r="Q30" s="20">
        <f t="shared" si="10"/>
        <v>0</v>
      </c>
      <c r="R30" s="20">
        <f t="shared" si="11"/>
        <v>0</v>
      </c>
      <c r="S30" s="5">
        <f t="shared" si="4"/>
        <v>0</v>
      </c>
      <c r="T30">
        <f>SUM($S$26:S31)</f>
        <v>0</v>
      </c>
    </row>
    <row r="31" spans="1:23" x14ac:dyDescent="0.2">
      <c r="A31" s="38">
        <v>2046</v>
      </c>
      <c r="B31" s="23"/>
      <c r="C31" s="9">
        <f t="shared" si="5"/>
        <v>2046</v>
      </c>
      <c r="D31" s="24">
        <f t="shared" si="6"/>
        <v>7.6236419465115715</v>
      </c>
      <c r="E31" s="24" t="e">
        <f t="shared" si="0"/>
        <v>#N/A</v>
      </c>
      <c r="F31" s="21">
        <f t="shared" si="7"/>
        <v>8.7044028335430639</v>
      </c>
      <c r="G31" s="37">
        <f t="shared" si="1"/>
        <v>6029.4003090676297</v>
      </c>
      <c r="H31" s="21" t="e">
        <f t="shared" si="2"/>
        <v>#N/A</v>
      </c>
      <c r="I31" s="21" t="e">
        <f t="shared" si="3"/>
        <v>#N/A</v>
      </c>
      <c r="J31" s="5"/>
      <c r="K31" s="29"/>
      <c r="M31" s="15">
        <f t="shared" si="8"/>
        <v>-212.58172331953335</v>
      </c>
      <c r="N31" s="15">
        <f t="shared" si="9"/>
        <v>212.58172331953335</v>
      </c>
      <c r="P31" s="9">
        <v>7</v>
      </c>
      <c r="Q31" s="20">
        <f t="shared" si="10"/>
        <v>0</v>
      </c>
      <c r="R31" s="20">
        <f t="shared" si="11"/>
        <v>0</v>
      </c>
      <c r="S31" s="5">
        <f t="shared" si="4"/>
        <v>0</v>
      </c>
      <c r="T31">
        <f>SUM($S$26:S32)</f>
        <v>0</v>
      </c>
    </row>
    <row r="32" spans="1:23" x14ac:dyDescent="0.2">
      <c r="A32" s="6"/>
      <c r="B32" s="23"/>
      <c r="C32" s="9" t="str">
        <f t="shared" si="5"/>
        <v/>
      </c>
      <c r="D32" s="24" t="str">
        <f t="shared" si="6"/>
        <v/>
      </c>
      <c r="E32" s="25" t="str">
        <f t="shared" si="0"/>
        <v/>
      </c>
      <c r="F32" s="21" t="str">
        <f t="shared" si="7"/>
        <v/>
      </c>
      <c r="G32" s="21" t="str">
        <f t="shared" si="1"/>
        <v/>
      </c>
      <c r="H32" s="21" t="str">
        <f t="shared" si="2"/>
        <v/>
      </c>
      <c r="I32" s="21" t="str">
        <f t="shared" si="3"/>
        <v/>
      </c>
      <c r="J32" s="5"/>
      <c r="K32" s="29"/>
      <c r="M32" s="15">
        <f t="shared" si="8"/>
        <v>-212.58172331953335</v>
      </c>
      <c r="N32" s="15">
        <f t="shared" si="9"/>
        <v>212.58172331953335</v>
      </c>
      <c r="P32" s="9">
        <v>8</v>
      </c>
      <c r="Q32" s="20">
        <f t="shared" si="10"/>
        <v>0</v>
      </c>
      <c r="R32" s="20">
        <f t="shared" si="11"/>
        <v>0</v>
      </c>
      <c r="S32" s="5">
        <f t="shared" si="4"/>
        <v>0</v>
      </c>
      <c r="T32">
        <f>SUM($S$26:S33)</f>
        <v>0</v>
      </c>
    </row>
    <row r="33" spans="1:20" x14ac:dyDescent="0.2">
      <c r="A33" s="6"/>
      <c r="B33" s="23"/>
      <c r="C33" s="9" t="str">
        <f t="shared" si="5"/>
        <v/>
      </c>
      <c r="E33" s="25" t="str">
        <f t="shared" si="0"/>
        <v/>
      </c>
      <c r="F33" s="21" t="str">
        <f t="shared" si="7"/>
        <v/>
      </c>
      <c r="G33" s="21" t="str">
        <f t="shared" si="1"/>
        <v/>
      </c>
      <c r="H33" s="21" t="str">
        <f t="shared" si="2"/>
        <v/>
      </c>
      <c r="I33" s="21" t="str">
        <f t="shared" si="3"/>
        <v/>
      </c>
      <c r="J33" s="5"/>
      <c r="K33" s="29"/>
      <c r="M33" s="15">
        <f t="shared" si="8"/>
        <v>-212.58172331953335</v>
      </c>
      <c r="N33" s="15">
        <f t="shared" si="9"/>
        <v>212.58172331953335</v>
      </c>
      <c r="P33" s="9">
        <v>9</v>
      </c>
      <c r="Q33" s="20">
        <f t="shared" si="10"/>
        <v>0</v>
      </c>
      <c r="R33" s="20">
        <f t="shared" si="11"/>
        <v>0</v>
      </c>
      <c r="S33" s="5">
        <f t="shared" si="4"/>
        <v>0</v>
      </c>
      <c r="T33">
        <f>SUM($S$26:S34)</f>
        <v>0</v>
      </c>
    </row>
    <row r="34" spans="1:20" x14ac:dyDescent="0.2">
      <c r="A34" s="6"/>
      <c r="B34" s="23"/>
      <c r="C34" s="9" t="str">
        <f t="shared" si="5"/>
        <v/>
      </c>
      <c r="E34" s="25" t="str">
        <f t="shared" si="0"/>
        <v/>
      </c>
      <c r="F34" s="21" t="str">
        <f t="shared" si="7"/>
        <v/>
      </c>
      <c r="G34" s="21" t="str">
        <f t="shared" si="1"/>
        <v/>
      </c>
      <c r="H34" s="21" t="str">
        <f t="shared" si="2"/>
        <v/>
      </c>
      <c r="I34" s="21" t="str">
        <f t="shared" si="3"/>
        <v/>
      </c>
      <c r="J34" s="5"/>
      <c r="K34" s="29"/>
      <c r="M34" s="15">
        <f t="shared" si="8"/>
        <v>-212.58172331953335</v>
      </c>
      <c r="N34" s="15">
        <f t="shared" si="9"/>
        <v>212.58172331953335</v>
      </c>
      <c r="P34" s="9">
        <v>10</v>
      </c>
      <c r="Q34" s="20">
        <f t="shared" ref="Q34:Q65" si="12">IF(C34&gt;$C$15,0,+Q33+ABS(H34))</f>
        <v>0</v>
      </c>
      <c r="R34" s="20">
        <f t="shared" si="11"/>
        <v>0</v>
      </c>
      <c r="S34" s="5">
        <f t="shared" si="4"/>
        <v>0</v>
      </c>
      <c r="T34">
        <f>SUM($S$26:S35)</f>
        <v>0</v>
      </c>
    </row>
    <row r="35" spans="1:20" x14ac:dyDescent="0.2">
      <c r="A35" s="6"/>
      <c r="B35" s="23"/>
      <c r="C35" s="9" t="str">
        <f t="shared" si="5"/>
        <v/>
      </c>
      <c r="E35" s="25" t="str">
        <f t="shared" si="0"/>
        <v/>
      </c>
      <c r="F35" s="21" t="str">
        <f t="shared" si="7"/>
        <v/>
      </c>
      <c r="G35" s="21" t="str">
        <f t="shared" si="1"/>
        <v/>
      </c>
      <c r="H35" s="21" t="str">
        <f t="shared" si="2"/>
        <v/>
      </c>
      <c r="I35" s="21" t="str">
        <f t="shared" si="3"/>
        <v/>
      </c>
      <c r="J35" s="5"/>
      <c r="K35" s="29"/>
      <c r="M35" s="15">
        <f t="shared" si="8"/>
        <v>-212.58172331953335</v>
      </c>
      <c r="N35" s="15">
        <f t="shared" si="9"/>
        <v>212.58172331953335</v>
      </c>
      <c r="P35" s="9">
        <v>11</v>
      </c>
      <c r="Q35" s="20">
        <f t="shared" si="12"/>
        <v>0</v>
      </c>
      <c r="R35" s="20">
        <f t="shared" si="11"/>
        <v>0</v>
      </c>
      <c r="S35" s="5">
        <f t="shared" si="4"/>
        <v>0</v>
      </c>
      <c r="T35">
        <f>SUM($S$26:S36)</f>
        <v>0</v>
      </c>
    </row>
    <row r="36" spans="1:20" x14ac:dyDescent="0.2">
      <c r="A36" s="6"/>
      <c r="B36" s="23"/>
      <c r="C36" s="9" t="str">
        <f t="shared" si="5"/>
        <v/>
      </c>
      <c r="E36" s="25" t="str">
        <f t="shared" si="0"/>
        <v/>
      </c>
      <c r="F36" s="21" t="str">
        <f t="shared" si="7"/>
        <v/>
      </c>
      <c r="G36" s="21" t="str">
        <f t="shared" si="1"/>
        <v/>
      </c>
      <c r="H36" s="21" t="str">
        <f t="shared" si="2"/>
        <v/>
      </c>
      <c r="I36" s="21" t="str">
        <f t="shared" si="3"/>
        <v/>
      </c>
      <c r="J36" s="5"/>
      <c r="K36" s="29"/>
      <c r="M36" s="15">
        <f t="shared" si="8"/>
        <v>-212.58172331953335</v>
      </c>
      <c r="N36" s="15">
        <f t="shared" si="9"/>
        <v>212.58172331953335</v>
      </c>
      <c r="P36" s="9">
        <v>12</v>
      </c>
      <c r="Q36" s="20">
        <f t="shared" si="12"/>
        <v>0</v>
      </c>
      <c r="R36" s="20">
        <f t="shared" si="11"/>
        <v>0</v>
      </c>
      <c r="S36" s="5">
        <f t="shared" si="4"/>
        <v>0</v>
      </c>
      <c r="T36">
        <f>SUM($S$26:S37)</f>
        <v>0</v>
      </c>
    </row>
    <row r="37" spans="1:20" x14ac:dyDescent="0.2">
      <c r="A37" s="6"/>
      <c r="B37" s="23"/>
      <c r="C37" s="9" t="str">
        <f t="shared" si="5"/>
        <v/>
      </c>
      <c r="E37" s="25" t="str">
        <f t="shared" si="0"/>
        <v/>
      </c>
      <c r="F37" s="21" t="str">
        <f t="shared" si="7"/>
        <v/>
      </c>
      <c r="G37" s="21" t="str">
        <f t="shared" si="1"/>
        <v/>
      </c>
      <c r="H37" s="21" t="str">
        <f t="shared" si="2"/>
        <v/>
      </c>
      <c r="I37" s="21" t="str">
        <f t="shared" si="3"/>
        <v/>
      </c>
      <c r="J37" s="5"/>
      <c r="K37" s="29"/>
      <c r="M37" s="15">
        <f t="shared" si="8"/>
        <v>-212.58172331953335</v>
      </c>
      <c r="N37" s="15">
        <f t="shared" si="9"/>
        <v>212.58172331953335</v>
      </c>
      <c r="P37" s="9">
        <v>13</v>
      </c>
      <c r="Q37" s="20">
        <f t="shared" si="12"/>
        <v>0</v>
      </c>
      <c r="R37" s="20">
        <f t="shared" si="11"/>
        <v>0</v>
      </c>
      <c r="S37" s="5">
        <f t="shared" si="4"/>
        <v>0</v>
      </c>
      <c r="T37">
        <f>SUM($S$26:S38)</f>
        <v>0</v>
      </c>
    </row>
    <row r="38" spans="1:20" x14ac:dyDescent="0.2">
      <c r="A38" s="6"/>
      <c r="B38" s="23"/>
      <c r="C38" s="9" t="str">
        <f t="shared" si="5"/>
        <v/>
      </c>
      <c r="E38" s="25" t="str">
        <f t="shared" si="0"/>
        <v/>
      </c>
      <c r="F38" s="21" t="str">
        <f t="shared" si="7"/>
        <v/>
      </c>
      <c r="G38" s="21" t="str">
        <f t="shared" si="1"/>
        <v/>
      </c>
      <c r="H38" s="21" t="str">
        <f t="shared" si="2"/>
        <v/>
      </c>
      <c r="I38" s="21" t="str">
        <f t="shared" si="3"/>
        <v/>
      </c>
      <c r="J38" s="5"/>
      <c r="K38" s="29"/>
      <c r="M38" s="15">
        <f t="shared" si="8"/>
        <v>-212.58172331953335</v>
      </c>
      <c r="N38" s="15">
        <f t="shared" si="9"/>
        <v>212.58172331953335</v>
      </c>
      <c r="P38" s="9">
        <v>14</v>
      </c>
      <c r="Q38" s="20">
        <f t="shared" si="12"/>
        <v>0</v>
      </c>
      <c r="R38" s="20">
        <f t="shared" si="11"/>
        <v>0</v>
      </c>
      <c r="S38" s="5">
        <f t="shared" si="4"/>
        <v>0</v>
      </c>
      <c r="T38">
        <f>SUM($S$26:S39)</f>
        <v>0</v>
      </c>
    </row>
    <row r="39" spans="1:20" x14ac:dyDescent="0.2">
      <c r="A39" s="6"/>
      <c r="B39" s="23"/>
      <c r="C39" s="9" t="str">
        <f t="shared" si="5"/>
        <v/>
      </c>
      <c r="E39" s="25" t="str">
        <f t="shared" si="0"/>
        <v/>
      </c>
      <c r="F39" s="21" t="str">
        <f t="shared" si="7"/>
        <v/>
      </c>
      <c r="G39" s="21" t="str">
        <f t="shared" si="1"/>
        <v/>
      </c>
      <c r="H39" s="21" t="str">
        <f t="shared" si="2"/>
        <v/>
      </c>
      <c r="I39" s="21" t="str">
        <f t="shared" si="3"/>
        <v/>
      </c>
      <c r="J39" s="5"/>
      <c r="K39" s="29"/>
      <c r="M39" s="15">
        <f t="shared" si="8"/>
        <v>-212.58172331953335</v>
      </c>
      <c r="N39" s="15">
        <f t="shared" si="9"/>
        <v>212.58172331953335</v>
      </c>
      <c r="P39" s="9">
        <v>15</v>
      </c>
      <c r="Q39" s="20">
        <f t="shared" si="12"/>
        <v>0</v>
      </c>
      <c r="R39" s="20">
        <f t="shared" si="11"/>
        <v>0</v>
      </c>
      <c r="S39" s="5">
        <f t="shared" si="4"/>
        <v>0</v>
      </c>
      <c r="T39">
        <f>SUM($S$26:S40)</f>
        <v>0</v>
      </c>
    </row>
    <row r="40" spans="1:20" x14ac:dyDescent="0.2">
      <c r="A40" s="6"/>
      <c r="B40" s="23"/>
      <c r="C40" s="9" t="str">
        <f t="shared" si="5"/>
        <v/>
      </c>
      <c r="E40" s="25" t="str">
        <f t="shared" si="0"/>
        <v/>
      </c>
      <c r="F40" s="21" t="str">
        <f t="shared" si="7"/>
        <v/>
      </c>
      <c r="G40" s="21" t="str">
        <f t="shared" si="1"/>
        <v/>
      </c>
      <c r="H40" s="21" t="str">
        <f t="shared" si="2"/>
        <v/>
      </c>
      <c r="I40" s="21" t="str">
        <f t="shared" si="3"/>
        <v/>
      </c>
      <c r="J40" s="5"/>
      <c r="K40" s="29"/>
      <c r="M40" s="15">
        <f t="shared" si="8"/>
        <v>-212.58172331953335</v>
      </c>
      <c r="N40" s="15">
        <f t="shared" si="9"/>
        <v>212.58172331953335</v>
      </c>
      <c r="P40" s="9">
        <v>16</v>
      </c>
      <c r="Q40" s="20">
        <f t="shared" si="12"/>
        <v>0</v>
      </c>
      <c r="R40" s="20">
        <f t="shared" si="11"/>
        <v>0</v>
      </c>
      <c r="S40" s="5">
        <f t="shared" si="4"/>
        <v>0</v>
      </c>
      <c r="T40">
        <f>SUM($S$26:S41)</f>
        <v>0</v>
      </c>
    </row>
    <row r="41" spans="1:20" x14ac:dyDescent="0.2">
      <c r="A41" s="6"/>
      <c r="B41" s="22"/>
      <c r="C41" s="9" t="str">
        <f t="shared" si="5"/>
        <v/>
      </c>
      <c r="E41" s="25" t="str">
        <f t="shared" si="0"/>
        <v/>
      </c>
      <c r="F41" s="21" t="str">
        <f t="shared" si="7"/>
        <v/>
      </c>
      <c r="G41" s="21" t="str">
        <f t="shared" si="1"/>
        <v/>
      </c>
      <c r="H41" s="21" t="str">
        <f t="shared" si="2"/>
        <v/>
      </c>
      <c r="I41" s="21" t="str">
        <f t="shared" si="3"/>
        <v/>
      </c>
      <c r="J41" s="5"/>
      <c r="K41" s="29"/>
      <c r="M41" s="15">
        <f t="shared" si="8"/>
        <v>-212.58172331953335</v>
      </c>
      <c r="N41" s="15">
        <f t="shared" si="9"/>
        <v>212.58172331953335</v>
      </c>
      <c r="P41" s="9">
        <v>17</v>
      </c>
      <c r="Q41" s="20">
        <f t="shared" si="12"/>
        <v>0</v>
      </c>
      <c r="R41" s="20">
        <f t="shared" si="11"/>
        <v>0</v>
      </c>
      <c r="S41" s="5">
        <f t="shared" si="4"/>
        <v>0</v>
      </c>
      <c r="T41">
        <f>SUM($S$26:S42)</f>
        <v>0</v>
      </c>
    </row>
    <row r="42" spans="1:20" x14ac:dyDescent="0.2">
      <c r="A42" s="6"/>
      <c r="B42" s="22"/>
      <c r="C42" s="9" t="str">
        <f t="shared" si="5"/>
        <v/>
      </c>
      <c r="E42" s="25" t="str">
        <f t="shared" si="0"/>
        <v/>
      </c>
      <c r="F42" s="21" t="str">
        <f t="shared" si="7"/>
        <v/>
      </c>
      <c r="G42" s="21" t="str">
        <f t="shared" si="1"/>
        <v/>
      </c>
      <c r="H42" s="21" t="str">
        <f t="shared" si="2"/>
        <v/>
      </c>
      <c r="I42" s="21" t="str">
        <f t="shared" si="3"/>
        <v/>
      </c>
      <c r="J42" s="5"/>
      <c r="K42" s="29"/>
      <c r="M42" s="15">
        <f t="shared" si="8"/>
        <v>-212.58172331953335</v>
      </c>
      <c r="N42" s="15">
        <f t="shared" si="9"/>
        <v>212.58172331953335</v>
      </c>
      <c r="P42" s="9">
        <v>18</v>
      </c>
      <c r="Q42" s="20">
        <f t="shared" si="12"/>
        <v>0</v>
      </c>
      <c r="R42" s="20">
        <f t="shared" si="11"/>
        <v>0</v>
      </c>
      <c r="S42" s="5">
        <f t="shared" si="4"/>
        <v>0</v>
      </c>
      <c r="T42">
        <f>SUM($S$26:S43)</f>
        <v>0</v>
      </c>
    </row>
    <row r="43" spans="1:20" x14ac:dyDescent="0.2">
      <c r="A43" s="6"/>
      <c r="B43" s="22"/>
      <c r="C43" s="9" t="str">
        <f t="shared" si="5"/>
        <v/>
      </c>
      <c r="E43" s="25" t="str">
        <f t="shared" si="0"/>
        <v/>
      </c>
      <c r="F43" s="21" t="str">
        <f t="shared" si="7"/>
        <v/>
      </c>
      <c r="G43" s="21" t="str">
        <f t="shared" si="1"/>
        <v/>
      </c>
      <c r="H43" s="21" t="str">
        <f t="shared" si="2"/>
        <v/>
      </c>
      <c r="I43" s="21" t="str">
        <f t="shared" si="3"/>
        <v/>
      </c>
      <c r="J43" s="5"/>
      <c r="K43" s="29"/>
      <c r="M43" s="15">
        <f t="shared" si="8"/>
        <v>-212.58172331953335</v>
      </c>
      <c r="N43" s="15">
        <f t="shared" si="9"/>
        <v>212.58172331953335</v>
      </c>
      <c r="P43" s="9">
        <v>19</v>
      </c>
      <c r="Q43" s="20">
        <f t="shared" si="12"/>
        <v>0</v>
      </c>
      <c r="R43" s="20">
        <f t="shared" si="11"/>
        <v>0</v>
      </c>
      <c r="S43" s="5">
        <f t="shared" si="4"/>
        <v>0</v>
      </c>
      <c r="T43">
        <f>SUM($S$26:S44)</f>
        <v>0</v>
      </c>
    </row>
    <row r="44" spans="1:20" x14ac:dyDescent="0.2">
      <c r="A44" s="6"/>
      <c r="B44" s="22"/>
      <c r="C44" s="9" t="str">
        <f t="shared" si="5"/>
        <v/>
      </c>
      <c r="E44" s="25" t="str">
        <f t="shared" si="0"/>
        <v/>
      </c>
      <c r="F44" s="21" t="str">
        <f t="shared" si="7"/>
        <v/>
      </c>
      <c r="G44" s="21" t="str">
        <f t="shared" si="1"/>
        <v/>
      </c>
      <c r="H44" s="21" t="str">
        <f t="shared" si="2"/>
        <v/>
      </c>
      <c r="I44" s="21" t="str">
        <f t="shared" si="3"/>
        <v/>
      </c>
      <c r="J44" s="5"/>
      <c r="K44" s="29"/>
      <c r="M44" s="15">
        <f t="shared" si="8"/>
        <v>-212.58172331953335</v>
      </c>
      <c r="N44" s="15">
        <f t="shared" si="9"/>
        <v>212.58172331953335</v>
      </c>
      <c r="P44" s="9">
        <v>20</v>
      </c>
      <c r="Q44" s="20">
        <f t="shared" si="12"/>
        <v>0</v>
      </c>
      <c r="R44" s="20">
        <f t="shared" si="11"/>
        <v>0</v>
      </c>
      <c r="S44" s="5">
        <f t="shared" si="4"/>
        <v>0</v>
      </c>
      <c r="T44">
        <f>SUM($S$26:S45)</f>
        <v>0</v>
      </c>
    </row>
    <row r="45" spans="1:20" x14ac:dyDescent="0.2">
      <c r="A45" s="6"/>
      <c r="B45" s="22"/>
      <c r="C45" s="9" t="str">
        <f t="shared" si="5"/>
        <v/>
      </c>
      <c r="E45" s="25" t="str">
        <f t="shared" si="0"/>
        <v/>
      </c>
      <c r="F45" s="21" t="str">
        <f t="shared" si="7"/>
        <v/>
      </c>
      <c r="G45" s="21" t="str">
        <f t="shared" si="1"/>
        <v/>
      </c>
      <c r="H45" s="21" t="str">
        <f t="shared" si="2"/>
        <v/>
      </c>
      <c r="I45" s="21" t="str">
        <f t="shared" si="3"/>
        <v/>
      </c>
      <c r="J45" s="5"/>
      <c r="K45" s="29"/>
      <c r="M45" s="15">
        <f t="shared" si="8"/>
        <v>-212.58172331953335</v>
      </c>
      <c r="N45" s="15">
        <f t="shared" si="9"/>
        <v>212.58172331953335</v>
      </c>
      <c r="P45" s="9">
        <v>21</v>
      </c>
      <c r="Q45" s="20">
        <f t="shared" si="12"/>
        <v>0</v>
      </c>
      <c r="R45" s="20">
        <f t="shared" si="11"/>
        <v>0</v>
      </c>
      <c r="S45" s="5">
        <f t="shared" si="4"/>
        <v>0</v>
      </c>
      <c r="T45">
        <f>SUM($S$26:S46)</f>
        <v>0</v>
      </c>
    </row>
    <row r="46" spans="1:20" x14ac:dyDescent="0.2">
      <c r="A46" s="6"/>
      <c r="B46" s="7"/>
      <c r="C46" s="9" t="str">
        <f t="shared" si="5"/>
        <v/>
      </c>
      <c r="E46" s="25" t="str">
        <f t="shared" si="0"/>
        <v/>
      </c>
      <c r="F46" s="21" t="str">
        <f t="shared" si="7"/>
        <v/>
      </c>
      <c r="G46" s="21" t="str">
        <f t="shared" si="1"/>
        <v/>
      </c>
      <c r="H46" s="21" t="str">
        <f t="shared" si="2"/>
        <v/>
      </c>
      <c r="I46" s="21" t="str">
        <f t="shared" si="3"/>
        <v/>
      </c>
      <c r="J46" s="5"/>
      <c r="K46" s="29"/>
      <c r="M46" s="15">
        <f t="shared" si="8"/>
        <v>-212.58172331953335</v>
      </c>
      <c r="N46" s="15">
        <f t="shared" si="9"/>
        <v>212.58172331953335</v>
      </c>
      <c r="P46" s="9">
        <v>22</v>
      </c>
      <c r="Q46" s="20">
        <f t="shared" si="12"/>
        <v>0</v>
      </c>
      <c r="R46" s="20">
        <f t="shared" si="11"/>
        <v>0</v>
      </c>
      <c r="S46" s="5">
        <f t="shared" si="4"/>
        <v>0</v>
      </c>
      <c r="T46">
        <f>SUM($S$26:S47)</f>
        <v>0</v>
      </c>
    </row>
    <row r="47" spans="1:20" x14ac:dyDescent="0.2">
      <c r="A47" s="6"/>
      <c r="B47" s="7"/>
      <c r="C47" s="9" t="str">
        <f t="shared" si="5"/>
        <v/>
      </c>
      <c r="E47" s="25" t="str">
        <f t="shared" si="0"/>
        <v/>
      </c>
      <c r="F47" s="21" t="str">
        <f t="shared" si="7"/>
        <v/>
      </c>
      <c r="G47" s="21" t="str">
        <f t="shared" si="1"/>
        <v/>
      </c>
      <c r="H47" s="21" t="str">
        <f t="shared" si="2"/>
        <v/>
      </c>
      <c r="I47" s="21" t="str">
        <f t="shared" si="3"/>
        <v/>
      </c>
      <c r="J47" s="5"/>
      <c r="K47" s="29"/>
      <c r="M47" s="15">
        <f t="shared" si="8"/>
        <v>-212.58172331953335</v>
      </c>
      <c r="N47" s="15">
        <f t="shared" si="9"/>
        <v>212.58172331953335</v>
      </c>
      <c r="P47" s="9">
        <v>23</v>
      </c>
      <c r="Q47" s="20">
        <f t="shared" si="12"/>
        <v>0</v>
      </c>
      <c r="R47" s="20">
        <f t="shared" si="11"/>
        <v>0</v>
      </c>
      <c r="S47" s="5">
        <f t="shared" si="4"/>
        <v>0</v>
      </c>
      <c r="T47">
        <f>SUM($S$26:S48)</f>
        <v>0</v>
      </c>
    </row>
    <row r="48" spans="1:20" x14ac:dyDescent="0.2">
      <c r="A48" s="6"/>
      <c r="B48" s="7"/>
      <c r="C48" s="9" t="str">
        <f t="shared" si="5"/>
        <v/>
      </c>
      <c r="E48" s="25" t="str">
        <f t="shared" si="0"/>
        <v/>
      </c>
      <c r="F48" s="21" t="str">
        <f t="shared" si="7"/>
        <v/>
      </c>
      <c r="G48" s="21" t="str">
        <f t="shared" si="1"/>
        <v/>
      </c>
      <c r="H48" s="21" t="str">
        <f t="shared" si="2"/>
        <v/>
      </c>
      <c r="I48" s="21" t="str">
        <f t="shared" si="3"/>
        <v/>
      </c>
      <c r="J48" s="5"/>
      <c r="K48" s="29"/>
      <c r="M48" s="15">
        <f t="shared" si="8"/>
        <v>-212.58172331953335</v>
      </c>
      <c r="N48" s="15">
        <f t="shared" si="9"/>
        <v>212.58172331953335</v>
      </c>
      <c r="P48" s="9">
        <v>24</v>
      </c>
      <c r="Q48" s="20">
        <f t="shared" si="12"/>
        <v>0</v>
      </c>
      <c r="R48" s="20">
        <f t="shared" si="11"/>
        <v>0</v>
      </c>
      <c r="S48" s="5">
        <f t="shared" si="4"/>
        <v>0</v>
      </c>
      <c r="T48">
        <f>SUM($S$26:S49)</f>
        <v>0</v>
      </c>
    </row>
    <row r="49" spans="1:20" x14ac:dyDescent="0.2">
      <c r="A49" s="6"/>
      <c r="B49" s="7"/>
      <c r="C49" s="9" t="str">
        <f t="shared" si="5"/>
        <v/>
      </c>
      <c r="E49" s="25" t="str">
        <f t="shared" si="0"/>
        <v/>
      </c>
      <c r="F49" s="21" t="str">
        <f t="shared" si="7"/>
        <v/>
      </c>
      <c r="G49" s="21" t="str">
        <f t="shared" si="1"/>
        <v/>
      </c>
      <c r="H49" s="21" t="str">
        <f t="shared" si="2"/>
        <v/>
      </c>
      <c r="I49" s="21" t="str">
        <f t="shared" si="3"/>
        <v/>
      </c>
      <c r="J49" s="5"/>
      <c r="K49" s="29"/>
      <c r="M49" s="15">
        <f t="shared" si="8"/>
        <v>-212.58172331953335</v>
      </c>
      <c r="N49" s="15">
        <f t="shared" si="9"/>
        <v>212.58172331953335</v>
      </c>
      <c r="P49" s="9">
        <v>25</v>
      </c>
      <c r="Q49" s="20">
        <f t="shared" si="12"/>
        <v>0</v>
      </c>
      <c r="R49" s="20">
        <f t="shared" si="11"/>
        <v>0</v>
      </c>
      <c r="S49" s="5">
        <f t="shared" si="4"/>
        <v>0</v>
      </c>
      <c r="T49">
        <f>SUM($S$26:S50)</f>
        <v>0</v>
      </c>
    </row>
    <row r="50" spans="1:20" x14ac:dyDescent="0.2">
      <c r="A50" s="6"/>
      <c r="B50" s="7"/>
      <c r="C50" s="9" t="str">
        <f t="shared" si="5"/>
        <v/>
      </c>
      <c r="E50" s="25" t="str">
        <f t="shared" si="0"/>
        <v/>
      </c>
      <c r="F50" s="21" t="str">
        <f t="shared" si="7"/>
        <v/>
      </c>
      <c r="G50" s="21" t="str">
        <f t="shared" si="1"/>
        <v/>
      </c>
      <c r="H50" s="21" t="str">
        <f t="shared" si="2"/>
        <v/>
      </c>
      <c r="I50" s="21" t="str">
        <f t="shared" si="3"/>
        <v/>
      </c>
      <c r="J50" s="5"/>
      <c r="K50" s="29"/>
      <c r="M50" s="15">
        <f t="shared" si="8"/>
        <v>-212.58172331953335</v>
      </c>
      <c r="N50" s="15">
        <f t="shared" si="9"/>
        <v>212.58172331953335</v>
      </c>
      <c r="P50" s="9">
        <v>26</v>
      </c>
      <c r="Q50" s="20">
        <f t="shared" si="12"/>
        <v>0</v>
      </c>
      <c r="R50" s="20">
        <f t="shared" si="11"/>
        <v>0</v>
      </c>
      <c r="S50" s="5">
        <f t="shared" si="4"/>
        <v>0</v>
      </c>
      <c r="T50">
        <f>SUM($S$26:S51)</f>
        <v>0</v>
      </c>
    </row>
    <row r="51" spans="1:20" x14ac:dyDescent="0.2">
      <c r="A51" s="6"/>
      <c r="B51" s="7"/>
      <c r="C51" s="9" t="str">
        <f t="shared" si="5"/>
        <v/>
      </c>
      <c r="E51" s="25" t="str">
        <f t="shared" si="0"/>
        <v/>
      </c>
      <c r="F51" s="21" t="str">
        <f t="shared" si="7"/>
        <v/>
      </c>
      <c r="G51" s="21" t="str">
        <f t="shared" si="1"/>
        <v/>
      </c>
      <c r="H51" s="21" t="str">
        <f t="shared" si="2"/>
        <v/>
      </c>
      <c r="I51" s="21" t="str">
        <f t="shared" si="3"/>
        <v/>
      </c>
      <c r="J51" s="5"/>
      <c r="K51" s="29"/>
      <c r="M51" s="15">
        <f t="shared" si="8"/>
        <v>-212.58172331953335</v>
      </c>
      <c r="N51" s="15">
        <f t="shared" si="9"/>
        <v>212.58172331953335</v>
      </c>
      <c r="P51" s="9">
        <v>27</v>
      </c>
      <c r="Q51" s="20">
        <f t="shared" si="12"/>
        <v>0</v>
      </c>
      <c r="R51" s="20">
        <f t="shared" si="11"/>
        <v>0</v>
      </c>
      <c r="S51" s="5">
        <f t="shared" si="4"/>
        <v>0</v>
      </c>
      <c r="T51">
        <f>SUM($S$26:S52)</f>
        <v>0</v>
      </c>
    </row>
    <row r="52" spans="1:20" x14ac:dyDescent="0.2">
      <c r="A52" s="6"/>
      <c r="B52" s="7"/>
      <c r="C52" s="9" t="str">
        <f t="shared" si="5"/>
        <v/>
      </c>
      <c r="E52" s="25" t="str">
        <f t="shared" si="0"/>
        <v/>
      </c>
      <c r="F52" s="21" t="str">
        <f t="shared" si="7"/>
        <v/>
      </c>
      <c r="G52" s="21" t="str">
        <f t="shared" si="1"/>
        <v/>
      </c>
      <c r="H52" s="21" t="str">
        <f t="shared" si="2"/>
        <v/>
      </c>
      <c r="I52" s="21" t="str">
        <f t="shared" si="3"/>
        <v/>
      </c>
      <c r="J52" s="5"/>
      <c r="K52" s="29"/>
      <c r="M52" s="15">
        <f t="shared" si="8"/>
        <v>-212.58172331953335</v>
      </c>
      <c r="N52" s="15">
        <f t="shared" si="9"/>
        <v>212.58172331953335</v>
      </c>
      <c r="P52" s="9">
        <v>28</v>
      </c>
      <c r="Q52" s="20">
        <f t="shared" si="12"/>
        <v>0</v>
      </c>
      <c r="R52" s="20">
        <f t="shared" si="11"/>
        <v>0</v>
      </c>
      <c r="S52" s="5">
        <f t="shared" si="4"/>
        <v>0</v>
      </c>
      <c r="T52">
        <f>SUM($S$26:S53)</f>
        <v>0</v>
      </c>
    </row>
    <row r="53" spans="1:20" x14ac:dyDescent="0.2">
      <c r="A53" s="6"/>
      <c r="B53" s="7"/>
      <c r="C53" s="9" t="str">
        <f t="shared" si="5"/>
        <v/>
      </c>
      <c r="E53" s="25" t="str">
        <f t="shared" si="0"/>
        <v/>
      </c>
      <c r="F53" s="21" t="str">
        <f t="shared" si="7"/>
        <v/>
      </c>
      <c r="G53" s="21" t="str">
        <f t="shared" si="1"/>
        <v/>
      </c>
      <c r="H53" s="21" t="str">
        <f t="shared" si="2"/>
        <v/>
      </c>
      <c r="I53" s="21" t="str">
        <f t="shared" si="3"/>
        <v/>
      </c>
      <c r="J53" s="5"/>
      <c r="K53" s="29"/>
      <c r="M53" s="15">
        <f t="shared" si="8"/>
        <v>-212.58172331953335</v>
      </c>
      <c r="N53" s="15">
        <f t="shared" si="9"/>
        <v>212.58172331953335</v>
      </c>
      <c r="P53" s="9">
        <v>29</v>
      </c>
      <c r="Q53" s="20">
        <f t="shared" si="12"/>
        <v>0</v>
      </c>
      <c r="R53" s="20">
        <f t="shared" si="11"/>
        <v>0</v>
      </c>
      <c r="S53" s="5">
        <f t="shared" si="4"/>
        <v>0</v>
      </c>
      <c r="T53">
        <f>SUM($S$26:S54)</f>
        <v>0</v>
      </c>
    </row>
    <row r="54" spans="1:20" x14ac:dyDescent="0.2">
      <c r="A54" s="6"/>
      <c r="B54" s="7"/>
      <c r="C54" s="9" t="str">
        <f t="shared" si="5"/>
        <v/>
      </c>
      <c r="E54" s="25" t="str">
        <f t="shared" si="0"/>
        <v/>
      </c>
      <c r="F54" s="21" t="str">
        <f t="shared" si="7"/>
        <v/>
      </c>
      <c r="G54" s="21" t="str">
        <f t="shared" si="1"/>
        <v/>
      </c>
      <c r="H54" s="21" t="str">
        <f t="shared" si="2"/>
        <v/>
      </c>
      <c r="I54" s="21" t="str">
        <f t="shared" si="3"/>
        <v/>
      </c>
      <c r="J54" s="5"/>
      <c r="K54" s="29"/>
      <c r="M54" s="15">
        <f t="shared" si="8"/>
        <v>-212.58172331953335</v>
      </c>
      <c r="N54" s="15">
        <f t="shared" si="9"/>
        <v>212.58172331953335</v>
      </c>
      <c r="P54" s="9">
        <v>30</v>
      </c>
      <c r="Q54" s="20">
        <f t="shared" si="12"/>
        <v>0</v>
      </c>
      <c r="R54" s="20">
        <f t="shared" si="11"/>
        <v>0</v>
      </c>
      <c r="S54" s="5">
        <f t="shared" si="4"/>
        <v>0</v>
      </c>
      <c r="T54">
        <f>SUM($S$26:S55)</f>
        <v>0</v>
      </c>
    </row>
    <row r="55" spans="1:20" x14ac:dyDescent="0.2">
      <c r="A55" s="6"/>
      <c r="B55" s="7"/>
      <c r="C55" s="9" t="str">
        <f t="shared" si="5"/>
        <v/>
      </c>
      <c r="E55" s="25" t="str">
        <f t="shared" si="0"/>
        <v/>
      </c>
      <c r="F55" s="21" t="str">
        <f t="shared" si="7"/>
        <v/>
      </c>
      <c r="G55" s="21" t="str">
        <f t="shared" si="1"/>
        <v/>
      </c>
      <c r="H55" s="21" t="str">
        <f t="shared" si="2"/>
        <v/>
      </c>
      <c r="I55" s="21" t="str">
        <f t="shared" si="3"/>
        <v/>
      </c>
      <c r="J55" s="5"/>
      <c r="K55" s="29"/>
      <c r="M55" s="15">
        <f t="shared" si="8"/>
        <v>-212.58172331953335</v>
      </c>
      <c r="N55" s="15">
        <f t="shared" si="9"/>
        <v>212.58172331953335</v>
      </c>
      <c r="P55" s="9">
        <v>31</v>
      </c>
      <c r="Q55" s="20">
        <f t="shared" si="12"/>
        <v>0</v>
      </c>
      <c r="R55" s="20">
        <f t="shared" si="11"/>
        <v>0</v>
      </c>
      <c r="S55" s="5">
        <f t="shared" si="4"/>
        <v>0</v>
      </c>
      <c r="T55">
        <f>SUM($S$26:S56)</f>
        <v>0</v>
      </c>
    </row>
    <row r="56" spans="1:20" x14ac:dyDescent="0.2">
      <c r="A56" s="6"/>
      <c r="B56" s="7"/>
      <c r="C56" s="9" t="str">
        <f t="shared" si="5"/>
        <v/>
      </c>
      <c r="E56" s="25" t="str">
        <f t="shared" si="0"/>
        <v/>
      </c>
      <c r="F56" s="21" t="str">
        <f t="shared" si="7"/>
        <v/>
      </c>
      <c r="G56" s="21" t="str">
        <f t="shared" si="1"/>
        <v/>
      </c>
      <c r="H56" s="21" t="str">
        <f t="shared" si="2"/>
        <v/>
      </c>
      <c r="I56" s="21" t="str">
        <f t="shared" si="3"/>
        <v/>
      </c>
      <c r="J56" s="5"/>
      <c r="K56" s="29"/>
      <c r="M56" s="15">
        <f t="shared" si="8"/>
        <v>-212.58172331953335</v>
      </c>
      <c r="N56" s="15">
        <f t="shared" si="9"/>
        <v>212.58172331953335</v>
      </c>
      <c r="P56" s="9">
        <v>32</v>
      </c>
      <c r="Q56" s="20">
        <f t="shared" si="12"/>
        <v>0</v>
      </c>
      <c r="R56" s="20">
        <f t="shared" si="11"/>
        <v>0</v>
      </c>
      <c r="S56" s="5">
        <f t="shared" si="4"/>
        <v>0</v>
      </c>
      <c r="T56">
        <f>SUM($S$26:S57)</f>
        <v>0</v>
      </c>
    </row>
    <row r="57" spans="1:20" x14ac:dyDescent="0.2">
      <c r="A57" s="6"/>
      <c r="B57" s="7"/>
      <c r="C57" s="9" t="str">
        <f t="shared" si="5"/>
        <v/>
      </c>
      <c r="E57" s="25" t="str">
        <f t="shared" ref="E57:E88" si="13">IF(A57="","",IF(B57="",NA(),LN(B57)))</f>
        <v/>
      </c>
      <c r="F57" s="21" t="str">
        <f t="shared" si="7"/>
        <v/>
      </c>
      <c r="G57" s="21" t="str">
        <f t="shared" ref="G57:G88" si="14">IF(A57="","",EXP(F57))</f>
        <v/>
      </c>
      <c r="H57" s="21" t="str">
        <f t="shared" ref="H57:H88" si="15">IF(A57="","",IF(B57="",NA(),B57-G57))</f>
        <v/>
      </c>
      <c r="I57" s="21" t="str">
        <f t="shared" ref="I57:I88" si="16">IF(A57="","",IF(B57="",NA(),H57^2))</f>
        <v/>
      </c>
      <c r="J57" s="5"/>
      <c r="K57" s="29"/>
      <c r="M57" s="15">
        <f t="shared" si="8"/>
        <v>-212.58172331953335</v>
      </c>
      <c r="N57" s="15">
        <f t="shared" si="9"/>
        <v>212.58172331953335</v>
      </c>
      <c r="P57" s="9">
        <v>33</v>
      </c>
      <c r="Q57" s="20">
        <f t="shared" si="12"/>
        <v>0</v>
      </c>
      <c r="R57" s="20">
        <f t="shared" si="11"/>
        <v>0</v>
      </c>
      <c r="S57" s="5">
        <f t="shared" ref="S57:S88" si="17">IF(C57&gt;$C$15,0,IF(ABS(H57)&gt;=$I$3,1,0))</f>
        <v>0</v>
      </c>
      <c r="T57">
        <f>SUM($S$26:S58)</f>
        <v>0</v>
      </c>
    </row>
    <row r="58" spans="1:20" x14ac:dyDescent="0.2">
      <c r="A58" s="6"/>
      <c r="B58" s="7"/>
      <c r="C58" s="9" t="str">
        <f t="shared" si="5"/>
        <v/>
      </c>
      <c r="E58" s="25" t="str">
        <f t="shared" si="13"/>
        <v/>
      </c>
      <c r="F58" s="21" t="str">
        <f t="shared" si="7"/>
        <v/>
      </c>
      <c r="G58" s="21" t="str">
        <f t="shared" si="14"/>
        <v/>
      </c>
      <c r="H58" s="21" t="str">
        <f t="shared" si="15"/>
        <v/>
      </c>
      <c r="I58" s="21" t="str">
        <f t="shared" si="16"/>
        <v/>
      </c>
      <c r="J58" s="5"/>
      <c r="K58" s="29"/>
      <c r="M58" s="15">
        <f t="shared" si="8"/>
        <v>-212.58172331953335</v>
      </c>
      <c r="N58" s="15">
        <f t="shared" si="9"/>
        <v>212.58172331953335</v>
      </c>
      <c r="P58" s="9">
        <v>34</v>
      </c>
      <c r="Q58" s="20">
        <f t="shared" si="12"/>
        <v>0</v>
      </c>
      <c r="R58" s="20">
        <f t="shared" ref="R58:R89" si="18">IF(B58="",0,+R57+H58^2)</f>
        <v>0</v>
      </c>
      <c r="S58" s="5">
        <f t="shared" si="17"/>
        <v>0</v>
      </c>
      <c r="T58">
        <f>SUM($S$26:S59)</f>
        <v>0</v>
      </c>
    </row>
    <row r="59" spans="1:20" x14ac:dyDescent="0.2">
      <c r="A59" s="6"/>
      <c r="B59" s="7"/>
      <c r="C59" s="9" t="str">
        <f t="shared" si="5"/>
        <v/>
      </c>
      <c r="E59" s="25" t="str">
        <f t="shared" si="13"/>
        <v/>
      </c>
      <c r="F59" s="21" t="str">
        <f t="shared" si="7"/>
        <v/>
      </c>
      <c r="G59" s="21" t="str">
        <f t="shared" si="14"/>
        <v/>
      </c>
      <c r="H59" s="21" t="str">
        <f t="shared" si="15"/>
        <v/>
      </c>
      <c r="I59" s="21" t="str">
        <f t="shared" si="16"/>
        <v/>
      </c>
      <c r="J59" s="5"/>
      <c r="K59" s="29"/>
      <c r="M59" s="15">
        <f t="shared" si="8"/>
        <v>-212.58172331953335</v>
      </c>
      <c r="N59" s="15">
        <f t="shared" si="9"/>
        <v>212.58172331953335</v>
      </c>
      <c r="P59" s="9">
        <v>35</v>
      </c>
      <c r="Q59" s="20">
        <f t="shared" si="12"/>
        <v>0</v>
      </c>
      <c r="R59" s="20">
        <f t="shared" si="18"/>
        <v>0</v>
      </c>
      <c r="S59" s="5">
        <f t="shared" si="17"/>
        <v>0</v>
      </c>
      <c r="T59">
        <f>SUM($S$26:S60)</f>
        <v>0</v>
      </c>
    </row>
    <row r="60" spans="1:20" x14ac:dyDescent="0.2">
      <c r="A60" s="6"/>
      <c r="B60" s="7"/>
      <c r="C60" s="9" t="str">
        <f t="shared" si="5"/>
        <v/>
      </c>
      <c r="E60" s="25" t="str">
        <f t="shared" si="13"/>
        <v/>
      </c>
      <c r="F60" s="21" t="str">
        <f t="shared" si="7"/>
        <v/>
      </c>
      <c r="G60" s="21" t="str">
        <f t="shared" si="14"/>
        <v/>
      </c>
      <c r="H60" s="21" t="str">
        <f t="shared" si="15"/>
        <v/>
      </c>
      <c r="I60" s="21" t="str">
        <f t="shared" si="16"/>
        <v/>
      </c>
      <c r="J60" s="5"/>
      <c r="K60" s="29"/>
      <c r="M60" s="15">
        <f t="shared" si="8"/>
        <v>-212.58172331953335</v>
      </c>
      <c r="N60" s="15">
        <f t="shared" si="9"/>
        <v>212.58172331953335</v>
      </c>
      <c r="P60" s="9">
        <v>36</v>
      </c>
      <c r="Q60" s="20">
        <f t="shared" si="12"/>
        <v>0</v>
      </c>
      <c r="R60" s="20">
        <f t="shared" si="18"/>
        <v>0</v>
      </c>
      <c r="S60" s="5">
        <f t="shared" si="17"/>
        <v>0</v>
      </c>
      <c r="T60">
        <f>SUM($S$26:S61)</f>
        <v>0</v>
      </c>
    </row>
    <row r="61" spans="1:20" x14ac:dyDescent="0.2">
      <c r="A61" s="6"/>
      <c r="B61" s="7"/>
      <c r="C61" s="9" t="str">
        <f t="shared" si="5"/>
        <v/>
      </c>
      <c r="E61" s="25" t="str">
        <f t="shared" si="13"/>
        <v/>
      </c>
      <c r="F61" s="21" t="str">
        <f t="shared" si="7"/>
        <v/>
      </c>
      <c r="G61" s="21" t="str">
        <f t="shared" si="14"/>
        <v/>
      </c>
      <c r="H61" s="21" t="str">
        <f t="shared" si="15"/>
        <v/>
      </c>
      <c r="I61" s="21" t="str">
        <f t="shared" si="16"/>
        <v/>
      </c>
      <c r="J61" s="5"/>
      <c r="K61" s="29"/>
      <c r="M61" s="15">
        <f t="shared" si="8"/>
        <v>-212.58172331953335</v>
      </c>
      <c r="N61" s="15">
        <f t="shared" si="9"/>
        <v>212.58172331953335</v>
      </c>
      <c r="P61" s="9">
        <v>37</v>
      </c>
      <c r="Q61" s="20">
        <f t="shared" si="12"/>
        <v>0</v>
      </c>
      <c r="R61" s="20">
        <f t="shared" si="18"/>
        <v>0</v>
      </c>
      <c r="S61" s="5">
        <f t="shared" si="17"/>
        <v>0</v>
      </c>
      <c r="T61">
        <f>SUM($S$26:S62)</f>
        <v>0</v>
      </c>
    </row>
    <row r="62" spans="1:20" x14ac:dyDescent="0.2">
      <c r="A62" s="6"/>
      <c r="B62" s="7"/>
      <c r="C62" s="9" t="str">
        <f t="shared" si="5"/>
        <v/>
      </c>
      <c r="E62" s="25" t="str">
        <f t="shared" si="13"/>
        <v/>
      </c>
      <c r="F62" s="21" t="str">
        <f t="shared" si="7"/>
        <v/>
      </c>
      <c r="G62" s="21" t="str">
        <f t="shared" si="14"/>
        <v/>
      </c>
      <c r="H62" s="21" t="str">
        <f t="shared" si="15"/>
        <v/>
      </c>
      <c r="I62" s="21" t="str">
        <f t="shared" si="16"/>
        <v/>
      </c>
      <c r="J62" s="5"/>
      <c r="K62" s="29"/>
      <c r="M62" s="15">
        <f t="shared" si="8"/>
        <v>-212.58172331953335</v>
      </c>
      <c r="N62" s="15">
        <f t="shared" si="9"/>
        <v>212.58172331953335</v>
      </c>
      <c r="P62" s="9">
        <v>38</v>
      </c>
      <c r="Q62" s="20">
        <f t="shared" si="12"/>
        <v>0</v>
      </c>
      <c r="R62" s="20">
        <f t="shared" si="18"/>
        <v>0</v>
      </c>
      <c r="S62" s="5">
        <f t="shared" si="17"/>
        <v>0</v>
      </c>
      <c r="T62">
        <f>SUM($S$26:S63)</f>
        <v>0</v>
      </c>
    </row>
    <row r="63" spans="1:20" x14ac:dyDescent="0.2">
      <c r="A63" s="6"/>
      <c r="B63" s="7"/>
      <c r="C63" s="9" t="str">
        <f>IF(A63="","",A63)</f>
        <v/>
      </c>
      <c r="E63" s="25" t="str">
        <f t="shared" si="13"/>
        <v/>
      </c>
      <c r="F63" s="21" t="str">
        <f t="shared" si="7"/>
        <v/>
      </c>
      <c r="G63" s="21" t="str">
        <f t="shared" si="14"/>
        <v/>
      </c>
      <c r="H63" s="21" t="str">
        <f t="shared" si="15"/>
        <v/>
      </c>
      <c r="I63" s="21" t="str">
        <f t="shared" si="16"/>
        <v/>
      </c>
      <c r="J63" s="5"/>
      <c r="K63" s="29"/>
      <c r="M63" s="15">
        <f t="shared" si="8"/>
        <v>-212.58172331953335</v>
      </c>
      <c r="N63" s="15">
        <f t="shared" si="9"/>
        <v>212.58172331953335</v>
      </c>
      <c r="P63" s="9">
        <v>39</v>
      </c>
      <c r="Q63" s="20">
        <f t="shared" si="12"/>
        <v>0</v>
      </c>
      <c r="R63" s="20">
        <f t="shared" si="18"/>
        <v>0</v>
      </c>
      <c r="S63" s="5">
        <f t="shared" si="17"/>
        <v>0</v>
      </c>
      <c r="T63">
        <f>SUM($S$26:S64)</f>
        <v>0</v>
      </c>
    </row>
    <row r="64" spans="1:20" x14ac:dyDescent="0.2">
      <c r="A64" s="6"/>
      <c r="B64" s="7"/>
      <c r="C64" s="9" t="str">
        <f t="shared" si="5"/>
        <v/>
      </c>
      <c r="E64" s="25" t="str">
        <f t="shared" si="13"/>
        <v/>
      </c>
      <c r="F64" s="21" t="str">
        <f t="shared" si="7"/>
        <v/>
      </c>
      <c r="G64" s="21" t="str">
        <f t="shared" si="14"/>
        <v/>
      </c>
      <c r="H64" s="21" t="str">
        <f t="shared" si="15"/>
        <v/>
      </c>
      <c r="I64" s="21" t="str">
        <f t="shared" si="16"/>
        <v/>
      </c>
      <c r="J64" s="5"/>
      <c r="K64" s="29"/>
      <c r="M64" s="15">
        <f t="shared" si="8"/>
        <v>-212.58172331953335</v>
      </c>
      <c r="N64" s="15">
        <f t="shared" si="9"/>
        <v>212.58172331953335</v>
      </c>
      <c r="P64" s="9">
        <v>40</v>
      </c>
      <c r="Q64" s="20">
        <f t="shared" si="12"/>
        <v>0</v>
      </c>
      <c r="R64" s="20">
        <f t="shared" si="18"/>
        <v>0</v>
      </c>
      <c r="S64" s="5">
        <f t="shared" si="17"/>
        <v>0</v>
      </c>
      <c r="T64">
        <f>SUM($S$26:S65)</f>
        <v>0</v>
      </c>
    </row>
    <row r="65" spans="1:20" x14ac:dyDescent="0.2">
      <c r="A65" s="6"/>
      <c r="B65" s="7"/>
      <c r="C65" s="9" t="str">
        <f t="shared" si="5"/>
        <v/>
      </c>
      <c r="E65" s="25" t="str">
        <f t="shared" si="13"/>
        <v/>
      </c>
      <c r="F65" s="21" t="str">
        <f t="shared" si="7"/>
        <v/>
      </c>
      <c r="G65" s="21" t="str">
        <f t="shared" si="14"/>
        <v/>
      </c>
      <c r="H65" s="21" t="str">
        <f t="shared" si="15"/>
        <v/>
      </c>
      <c r="I65" s="21" t="str">
        <f t="shared" si="16"/>
        <v/>
      </c>
      <c r="J65" s="5"/>
      <c r="K65" s="29"/>
      <c r="M65" s="15">
        <f t="shared" si="8"/>
        <v>-212.58172331953335</v>
      </c>
      <c r="N65" s="15">
        <f t="shared" si="9"/>
        <v>212.58172331953335</v>
      </c>
      <c r="P65" s="9">
        <v>41</v>
      </c>
      <c r="Q65" s="20">
        <f t="shared" si="12"/>
        <v>0</v>
      </c>
      <c r="R65" s="20">
        <f t="shared" si="18"/>
        <v>0</v>
      </c>
      <c r="S65" s="5">
        <f t="shared" si="17"/>
        <v>0</v>
      </c>
      <c r="T65">
        <f>SUM($S$26:S66)</f>
        <v>0</v>
      </c>
    </row>
    <row r="66" spans="1:20" x14ac:dyDescent="0.2">
      <c r="A66" s="6"/>
      <c r="B66" s="7"/>
      <c r="C66" s="9" t="str">
        <f t="shared" si="5"/>
        <v/>
      </c>
      <c r="E66" s="25" t="str">
        <f t="shared" si="13"/>
        <v/>
      </c>
      <c r="F66" s="21" t="str">
        <f t="shared" si="7"/>
        <v/>
      </c>
      <c r="G66" s="21" t="str">
        <f t="shared" si="14"/>
        <v/>
      </c>
      <c r="H66" s="21" t="str">
        <f t="shared" si="15"/>
        <v/>
      </c>
      <c r="I66" s="21" t="str">
        <f t="shared" si="16"/>
        <v/>
      </c>
      <c r="J66" s="5"/>
      <c r="K66" s="29"/>
      <c r="M66" s="15">
        <f t="shared" si="8"/>
        <v>-212.58172331953335</v>
      </c>
      <c r="N66" s="15">
        <f t="shared" si="9"/>
        <v>212.58172331953335</v>
      </c>
      <c r="P66" s="9">
        <v>42</v>
      </c>
      <c r="Q66" s="20">
        <f t="shared" ref="Q66:Q97" si="19">IF(C66&gt;$C$15,0,+Q65+ABS(H66))</f>
        <v>0</v>
      </c>
      <c r="R66" s="20">
        <f t="shared" si="18"/>
        <v>0</v>
      </c>
      <c r="S66" s="5">
        <f t="shared" si="17"/>
        <v>0</v>
      </c>
      <c r="T66">
        <f>SUM($S$26:S67)</f>
        <v>0</v>
      </c>
    </row>
    <row r="67" spans="1:20" x14ac:dyDescent="0.2">
      <c r="A67" s="6"/>
      <c r="B67" s="7"/>
      <c r="C67" s="9" t="str">
        <f t="shared" si="5"/>
        <v/>
      </c>
      <c r="E67" s="25" t="str">
        <f t="shared" si="13"/>
        <v/>
      </c>
      <c r="F67" s="21" t="str">
        <f t="shared" si="7"/>
        <v/>
      </c>
      <c r="G67" s="21" t="str">
        <f t="shared" si="14"/>
        <v/>
      </c>
      <c r="H67" s="21" t="str">
        <f t="shared" si="15"/>
        <v/>
      </c>
      <c r="I67" s="21" t="str">
        <f t="shared" si="16"/>
        <v/>
      </c>
      <c r="J67" s="5"/>
      <c r="K67" s="29"/>
      <c r="M67" s="15">
        <f t="shared" si="8"/>
        <v>-212.58172331953335</v>
      </c>
      <c r="N67" s="15">
        <f t="shared" si="9"/>
        <v>212.58172331953335</v>
      </c>
      <c r="P67" s="9">
        <v>43</v>
      </c>
      <c r="Q67" s="20">
        <f t="shared" si="19"/>
        <v>0</v>
      </c>
      <c r="R67" s="20">
        <f t="shared" si="18"/>
        <v>0</v>
      </c>
      <c r="S67" s="5">
        <f t="shared" si="17"/>
        <v>0</v>
      </c>
      <c r="T67">
        <f>SUM($S$26:S68)</f>
        <v>0</v>
      </c>
    </row>
    <row r="68" spans="1:20" x14ac:dyDescent="0.2">
      <c r="A68" s="6"/>
      <c r="B68" s="7"/>
      <c r="C68" s="9" t="str">
        <f t="shared" si="5"/>
        <v/>
      </c>
      <c r="E68" s="25" t="str">
        <f t="shared" si="13"/>
        <v/>
      </c>
      <c r="F68" s="21" t="str">
        <f t="shared" si="7"/>
        <v/>
      </c>
      <c r="G68" s="21" t="str">
        <f t="shared" si="14"/>
        <v/>
      </c>
      <c r="H68" s="21" t="str">
        <f t="shared" si="15"/>
        <v/>
      </c>
      <c r="I68" s="21" t="str">
        <f t="shared" si="16"/>
        <v/>
      </c>
      <c r="J68" s="5"/>
      <c r="K68" s="29"/>
      <c r="M68" s="15">
        <f t="shared" si="8"/>
        <v>-212.58172331953335</v>
      </c>
      <c r="N68" s="15">
        <f t="shared" si="9"/>
        <v>212.58172331953335</v>
      </c>
      <c r="P68" s="9">
        <v>44</v>
      </c>
      <c r="Q68" s="20">
        <f t="shared" si="19"/>
        <v>0</v>
      </c>
      <c r="R68" s="20">
        <f t="shared" si="18"/>
        <v>0</v>
      </c>
      <c r="S68" s="5">
        <f t="shared" si="17"/>
        <v>0</v>
      </c>
      <c r="T68">
        <f>SUM($S$26:S69)</f>
        <v>0</v>
      </c>
    </row>
    <row r="69" spans="1:20" x14ac:dyDescent="0.2">
      <c r="A69" s="6"/>
      <c r="B69" s="7"/>
      <c r="C69" s="9" t="str">
        <f t="shared" si="5"/>
        <v/>
      </c>
      <c r="E69" s="25" t="str">
        <f t="shared" si="13"/>
        <v/>
      </c>
      <c r="F69" s="21" t="str">
        <f t="shared" si="7"/>
        <v/>
      </c>
      <c r="G69" s="21" t="str">
        <f t="shared" si="14"/>
        <v/>
      </c>
      <c r="H69" s="21" t="str">
        <f t="shared" si="15"/>
        <v/>
      </c>
      <c r="I69" s="21" t="str">
        <f t="shared" si="16"/>
        <v/>
      </c>
      <c r="J69" s="5"/>
      <c r="K69" s="29"/>
      <c r="M69" s="15">
        <f t="shared" si="8"/>
        <v>-212.58172331953335</v>
      </c>
      <c r="N69" s="15">
        <f t="shared" si="9"/>
        <v>212.58172331953335</v>
      </c>
      <c r="P69" s="9">
        <v>45</v>
      </c>
      <c r="Q69" s="20">
        <f t="shared" si="19"/>
        <v>0</v>
      </c>
      <c r="R69" s="20">
        <f t="shared" si="18"/>
        <v>0</v>
      </c>
      <c r="S69" s="5">
        <f t="shared" si="17"/>
        <v>0</v>
      </c>
      <c r="T69">
        <f>SUM($S$26:S70)</f>
        <v>0</v>
      </c>
    </row>
    <row r="70" spans="1:20" x14ac:dyDescent="0.2">
      <c r="A70" s="6"/>
      <c r="B70" s="7"/>
      <c r="C70" s="9" t="str">
        <f t="shared" si="5"/>
        <v/>
      </c>
      <c r="E70" s="25" t="str">
        <f t="shared" si="13"/>
        <v/>
      </c>
      <c r="F70" s="21" t="str">
        <f t="shared" si="7"/>
        <v/>
      </c>
      <c r="G70" s="21" t="str">
        <f t="shared" si="14"/>
        <v/>
      </c>
      <c r="H70" s="21" t="str">
        <f t="shared" si="15"/>
        <v/>
      </c>
      <c r="I70" s="21" t="str">
        <f t="shared" si="16"/>
        <v/>
      </c>
      <c r="J70" s="5"/>
      <c r="K70" s="29"/>
      <c r="M70" s="15">
        <f t="shared" si="8"/>
        <v>-212.58172331953335</v>
      </c>
      <c r="N70" s="15">
        <f t="shared" si="9"/>
        <v>212.58172331953335</v>
      </c>
      <c r="P70" s="9">
        <v>46</v>
      </c>
      <c r="Q70" s="20">
        <f t="shared" si="19"/>
        <v>0</v>
      </c>
      <c r="R70" s="20">
        <f t="shared" si="18"/>
        <v>0</v>
      </c>
      <c r="S70" s="5">
        <f t="shared" si="17"/>
        <v>0</v>
      </c>
      <c r="T70">
        <f>SUM($S$26:S71)</f>
        <v>0</v>
      </c>
    </row>
    <row r="71" spans="1:20" x14ac:dyDescent="0.2">
      <c r="A71" s="6"/>
      <c r="B71" s="7"/>
      <c r="C71" s="9" t="str">
        <f t="shared" si="5"/>
        <v/>
      </c>
      <c r="E71" s="25" t="str">
        <f t="shared" si="13"/>
        <v/>
      </c>
      <c r="F71" s="21" t="str">
        <f t="shared" si="7"/>
        <v/>
      </c>
      <c r="G71" s="21" t="str">
        <f t="shared" si="14"/>
        <v/>
      </c>
      <c r="H71" s="21" t="str">
        <f t="shared" si="15"/>
        <v/>
      </c>
      <c r="I71" s="21" t="str">
        <f t="shared" si="16"/>
        <v/>
      </c>
      <c r="J71" s="5"/>
      <c r="K71" s="29"/>
      <c r="M71" s="15">
        <f t="shared" si="8"/>
        <v>-212.58172331953335</v>
      </c>
      <c r="N71" s="15">
        <f t="shared" si="9"/>
        <v>212.58172331953335</v>
      </c>
      <c r="P71" s="9">
        <v>47</v>
      </c>
      <c r="Q71" s="20">
        <f t="shared" si="19"/>
        <v>0</v>
      </c>
      <c r="R71" s="20">
        <f t="shared" si="18"/>
        <v>0</v>
      </c>
      <c r="S71" s="5">
        <f t="shared" si="17"/>
        <v>0</v>
      </c>
      <c r="T71">
        <f>SUM($S$26:S72)</f>
        <v>0</v>
      </c>
    </row>
    <row r="72" spans="1:20" x14ac:dyDescent="0.2">
      <c r="A72" s="6"/>
      <c r="B72" s="7"/>
      <c r="C72" s="9" t="str">
        <f t="shared" si="5"/>
        <v/>
      </c>
      <c r="E72" s="25" t="str">
        <f t="shared" si="13"/>
        <v/>
      </c>
      <c r="F72" s="21" t="str">
        <f t="shared" si="7"/>
        <v/>
      </c>
      <c r="G72" s="21" t="str">
        <f t="shared" si="14"/>
        <v/>
      </c>
      <c r="H72" s="21" t="str">
        <f t="shared" si="15"/>
        <v/>
      </c>
      <c r="I72" s="21" t="str">
        <f t="shared" si="16"/>
        <v/>
      </c>
      <c r="J72" s="5"/>
      <c r="K72" s="29"/>
      <c r="M72" s="15">
        <f t="shared" si="8"/>
        <v>-212.58172331953335</v>
      </c>
      <c r="N72" s="15">
        <f t="shared" si="9"/>
        <v>212.58172331953335</v>
      </c>
      <c r="P72" s="9">
        <v>48</v>
      </c>
      <c r="Q72" s="20">
        <f t="shared" si="19"/>
        <v>0</v>
      </c>
      <c r="R72" s="20">
        <f t="shared" si="18"/>
        <v>0</v>
      </c>
      <c r="S72" s="5">
        <f t="shared" si="17"/>
        <v>0</v>
      </c>
      <c r="T72">
        <f>SUM($S$26:S73)</f>
        <v>0</v>
      </c>
    </row>
    <row r="73" spans="1:20" x14ac:dyDescent="0.2">
      <c r="A73" s="6"/>
      <c r="B73" s="7"/>
      <c r="C73" s="9" t="str">
        <f t="shared" si="5"/>
        <v/>
      </c>
      <c r="E73" s="25" t="str">
        <f t="shared" si="13"/>
        <v/>
      </c>
      <c r="F73" s="21" t="str">
        <f t="shared" si="7"/>
        <v/>
      </c>
      <c r="G73" s="21" t="str">
        <f t="shared" si="14"/>
        <v/>
      </c>
      <c r="H73" s="21" t="str">
        <f t="shared" si="15"/>
        <v/>
      </c>
      <c r="I73" s="21" t="str">
        <f t="shared" si="16"/>
        <v/>
      </c>
      <c r="J73" s="5"/>
      <c r="K73" s="29"/>
      <c r="M73" s="15">
        <f t="shared" si="8"/>
        <v>-212.58172331953335</v>
      </c>
      <c r="N73" s="15">
        <f t="shared" si="9"/>
        <v>212.58172331953335</v>
      </c>
      <c r="P73" s="9">
        <v>49</v>
      </c>
      <c r="Q73" s="20">
        <f t="shared" si="19"/>
        <v>0</v>
      </c>
      <c r="R73" s="20">
        <f t="shared" si="18"/>
        <v>0</v>
      </c>
      <c r="S73" s="5">
        <f t="shared" si="17"/>
        <v>0</v>
      </c>
      <c r="T73">
        <f>SUM($S$26:S74)</f>
        <v>0</v>
      </c>
    </row>
    <row r="74" spans="1:20" x14ac:dyDescent="0.2">
      <c r="A74" s="6"/>
      <c r="B74" s="7"/>
      <c r="C74" s="9" t="str">
        <f t="shared" si="5"/>
        <v/>
      </c>
      <c r="E74" s="25" t="str">
        <f t="shared" si="13"/>
        <v/>
      </c>
      <c r="F74" s="21" t="str">
        <f t="shared" si="7"/>
        <v/>
      </c>
      <c r="G74" s="21" t="str">
        <f t="shared" si="14"/>
        <v/>
      </c>
      <c r="H74" s="21" t="str">
        <f t="shared" si="15"/>
        <v/>
      </c>
      <c r="I74" s="21" t="str">
        <f t="shared" si="16"/>
        <v/>
      </c>
      <c r="J74" s="5"/>
      <c r="K74" s="29"/>
      <c r="M74" s="15">
        <f t="shared" si="8"/>
        <v>-212.58172331953335</v>
      </c>
      <c r="N74" s="15">
        <f t="shared" si="9"/>
        <v>212.58172331953335</v>
      </c>
      <c r="P74" s="9">
        <v>50</v>
      </c>
      <c r="Q74" s="20">
        <f t="shared" si="19"/>
        <v>0</v>
      </c>
      <c r="R74" s="20">
        <f t="shared" si="18"/>
        <v>0</v>
      </c>
      <c r="S74" s="5">
        <f t="shared" si="17"/>
        <v>0</v>
      </c>
      <c r="T74">
        <f>SUM($S$26:S75)</f>
        <v>0</v>
      </c>
    </row>
    <row r="75" spans="1:20" x14ac:dyDescent="0.2">
      <c r="A75" s="6"/>
      <c r="B75" s="7"/>
      <c r="C75" s="9" t="str">
        <f t="shared" si="5"/>
        <v/>
      </c>
      <c r="E75" s="25" t="str">
        <f t="shared" si="13"/>
        <v/>
      </c>
      <c r="F75" s="21" t="str">
        <f t="shared" si="7"/>
        <v/>
      </c>
      <c r="G75" s="21" t="str">
        <f t="shared" si="14"/>
        <v/>
      </c>
      <c r="H75" s="21" t="str">
        <f t="shared" si="15"/>
        <v/>
      </c>
      <c r="I75" s="21" t="str">
        <f t="shared" si="16"/>
        <v/>
      </c>
      <c r="J75" s="5"/>
      <c r="K75" s="29"/>
      <c r="M75" s="15">
        <f t="shared" si="8"/>
        <v>-212.58172331953335</v>
      </c>
      <c r="N75" s="15">
        <f t="shared" si="9"/>
        <v>212.58172331953335</v>
      </c>
      <c r="P75" s="9">
        <v>51</v>
      </c>
      <c r="Q75" s="20">
        <f t="shared" si="19"/>
        <v>0</v>
      </c>
      <c r="R75" s="20">
        <f t="shared" si="18"/>
        <v>0</v>
      </c>
      <c r="S75" s="5">
        <f t="shared" si="17"/>
        <v>0</v>
      </c>
      <c r="T75">
        <f>SUM($S$26:S76)</f>
        <v>0</v>
      </c>
    </row>
    <row r="76" spans="1:20" x14ac:dyDescent="0.2">
      <c r="A76" s="6"/>
      <c r="B76" s="7"/>
      <c r="C76" s="9" t="str">
        <f t="shared" si="5"/>
        <v/>
      </c>
      <c r="E76" s="25" t="str">
        <f t="shared" si="13"/>
        <v/>
      </c>
      <c r="F76" s="21" t="str">
        <f t="shared" si="7"/>
        <v/>
      </c>
      <c r="G76" s="21" t="str">
        <f t="shared" si="14"/>
        <v/>
      </c>
      <c r="H76" s="21" t="str">
        <f t="shared" si="15"/>
        <v/>
      </c>
      <c r="I76" s="21" t="str">
        <f t="shared" si="16"/>
        <v/>
      </c>
      <c r="J76" s="5"/>
      <c r="K76" s="29"/>
      <c r="M76" s="15">
        <f t="shared" si="8"/>
        <v>-212.58172331953335</v>
      </c>
      <c r="N76" s="15">
        <f t="shared" si="9"/>
        <v>212.58172331953335</v>
      </c>
      <c r="P76" s="9">
        <v>52</v>
      </c>
      <c r="Q76" s="20">
        <f t="shared" si="19"/>
        <v>0</v>
      </c>
      <c r="R76" s="20">
        <f t="shared" si="18"/>
        <v>0</v>
      </c>
      <c r="S76" s="5">
        <f t="shared" si="17"/>
        <v>0</v>
      </c>
      <c r="T76">
        <f>SUM($S$26:S77)</f>
        <v>0</v>
      </c>
    </row>
    <row r="77" spans="1:20" x14ac:dyDescent="0.2">
      <c r="A77" s="6"/>
      <c r="B77" s="7"/>
      <c r="C77" s="9" t="str">
        <f t="shared" si="5"/>
        <v/>
      </c>
      <c r="E77" s="25" t="str">
        <f t="shared" si="13"/>
        <v/>
      </c>
      <c r="F77" s="21" t="str">
        <f t="shared" si="7"/>
        <v/>
      </c>
      <c r="G77" s="21" t="str">
        <f t="shared" si="14"/>
        <v/>
      </c>
      <c r="H77" s="21" t="str">
        <f t="shared" si="15"/>
        <v/>
      </c>
      <c r="I77" s="21" t="str">
        <f t="shared" si="16"/>
        <v/>
      </c>
      <c r="J77" s="5"/>
      <c r="K77" s="29"/>
      <c r="M77" s="15">
        <f t="shared" si="8"/>
        <v>-212.58172331953335</v>
      </c>
      <c r="N77" s="15">
        <f t="shared" si="9"/>
        <v>212.58172331953335</v>
      </c>
      <c r="P77" s="9">
        <v>53</v>
      </c>
      <c r="Q77" s="20">
        <f t="shared" si="19"/>
        <v>0</v>
      </c>
      <c r="R77" s="20">
        <f t="shared" si="18"/>
        <v>0</v>
      </c>
      <c r="S77" s="5">
        <f t="shared" si="17"/>
        <v>0</v>
      </c>
      <c r="T77">
        <f>SUM($S$26:S78)</f>
        <v>0</v>
      </c>
    </row>
    <row r="78" spans="1:20" x14ac:dyDescent="0.2">
      <c r="A78" s="6"/>
      <c r="B78" s="7"/>
      <c r="C78" s="9" t="str">
        <f t="shared" si="5"/>
        <v/>
      </c>
      <c r="E78" s="25" t="str">
        <f t="shared" si="13"/>
        <v/>
      </c>
      <c r="F78" s="21" t="str">
        <f t="shared" si="7"/>
        <v/>
      </c>
      <c r="G78" s="21" t="str">
        <f t="shared" si="14"/>
        <v/>
      </c>
      <c r="H78" s="21" t="str">
        <f t="shared" si="15"/>
        <v/>
      </c>
      <c r="I78" s="21" t="str">
        <f t="shared" si="16"/>
        <v/>
      </c>
      <c r="J78" s="5"/>
      <c r="K78" s="29"/>
      <c r="M78" s="15">
        <f t="shared" si="8"/>
        <v>-212.58172331953335</v>
      </c>
      <c r="N78" s="15">
        <f t="shared" si="9"/>
        <v>212.58172331953335</v>
      </c>
      <c r="P78" s="9">
        <v>54</v>
      </c>
      <c r="Q78" s="20">
        <f t="shared" si="19"/>
        <v>0</v>
      </c>
      <c r="R78" s="20">
        <f t="shared" si="18"/>
        <v>0</v>
      </c>
      <c r="S78" s="5">
        <f t="shared" si="17"/>
        <v>0</v>
      </c>
      <c r="T78">
        <f>SUM($S$26:S79)</f>
        <v>0</v>
      </c>
    </row>
    <row r="79" spans="1:20" x14ac:dyDescent="0.2">
      <c r="A79" s="6"/>
      <c r="B79" s="7"/>
      <c r="C79" s="9" t="str">
        <f t="shared" si="5"/>
        <v/>
      </c>
      <c r="E79" s="25" t="str">
        <f t="shared" si="13"/>
        <v/>
      </c>
      <c r="F79" s="21" t="str">
        <f t="shared" si="7"/>
        <v/>
      </c>
      <c r="G79" s="21" t="str">
        <f t="shared" si="14"/>
        <v/>
      </c>
      <c r="H79" s="21" t="str">
        <f t="shared" si="15"/>
        <v/>
      </c>
      <c r="I79" s="21" t="str">
        <f t="shared" si="16"/>
        <v/>
      </c>
      <c r="J79" s="5"/>
      <c r="K79" s="29"/>
      <c r="M79" s="15">
        <f t="shared" si="8"/>
        <v>-212.58172331953335</v>
      </c>
      <c r="N79" s="15">
        <f t="shared" si="9"/>
        <v>212.58172331953335</v>
      </c>
      <c r="P79" s="9">
        <v>55</v>
      </c>
      <c r="Q79" s="20">
        <f t="shared" si="19"/>
        <v>0</v>
      </c>
      <c r="R79" s="20">
        <f t="shared" si="18"/>
        <v>0</v>
      </c>
      <c r="S79" s="5">
        <f t="shared" si="17"/>
        <v>0</v>
      </c>
      <c r="T79">
        <f>SUM($S$26:S80)</f>
        <v>0</v>
      </c>
    </row>
    <row r="80" spans="1:20" x14ac:dyDescent="0.2">
      <c r="A80" s="6"/>
      <c r="B80" s="7"/>
      <c r="C80" s="9" t="str">
        <f t="shared" si="5"/>
        <v/>
      </c>
      <c r="E80" s="25" t="str">
        <f t="shared" si="13"/>
        <v/>
      </c>
      <c r="F80" s="21" t="str">
        <f t="shared" si="7"/>
        <v/>
      </c>
      <c r="G80" s="21" t="str">
        <f t="shared" si="14"/>
        <v/>
      </c>
      <c r="H80" s="21" t="str">
        <f t="shared" si="15"/>
        <v/>
      </c>
      <c r="I80" s="21" t="str">
        <f t="shared" si="16"/>
        <v/>
      </c>
      <c r="J80" s="5"/>
      <c r="K80" s="29"/>
      <c r="M80" s="15">
        <f t="shared" si="8"/>
        <v>-212.58172331953335</v>
      </c>
      <c r="N80" s="15">
        <f t="shared" si="9"/>
        <v>212.58172331953335</v>
      </c>
      <c r="P80" s="9">
        <v>56</v>
      </c>
      <c r="Q80" s="20">
        <f t="shared" si="19"/>
        <v>0</v>
      </c>
      <c r="R80" s="20">
        <f t="shared" si="18"/>
        <v>0</v>
      </c>
      <c r="S80" s="5">
        <f t="shared" si="17"/>
        <v>0</v>
      </c>
      <c r="T80">
        <f>SUM($S$26:S81)</f>
        <v>0</v>
      </c>
    </row>
    <row r="81" spans="1:20" x14ac:dyDescent="0.2">
      <c r="A81" s="6"/>
      <c r="B81" s="7"/>
      <c r="C81" s="9" t="str">
        <f>IF(A81="","",A81)</f>
        <v/>
      </c>
      <c r="E81" s="25" t="str">
        <f t="shared" si="13"/>
        <v/>
      </c>
      <c r="F81" s="21" t="str">
        <f t="shared" si="7"/>
        <v/>
      </c>
      <c r="G81" s="21" t="str">
        <f t="shared" si="14"/>
        <v/>
      </c>
      <c r="H81" s="21" t="str">
        <f t="shared" si="15"/>
        <v/>
      </c>
      <c r="I81" s="21" t="str">
        <f t="shared" si="16"/>
        <v/>
      </c>
      <c r="J81" s="5"/>
      <c r="K81" s="29"/>
      <c r="M81" s="15">
        <f t="shared" si="8"/>
        <v>-212.58172331953335</v>
      </c>
      <c r="N81" s="15">
        <f t="shared" si="9"/>
        <v>212.58172331953335</v>
      </c>
      <c r="P81" s="9">
        <v>57</v>
      </c>
      <c r="Q81" s="20">
        <f t="shared" si="19"/>
        <v>0</v>
      </c>
      <c r="R81" s="20">
        <f t="shared" si="18"/>
        <v>0</v>
      </c>
      <c r="S81" s="5">
        <f t="shared" si="17"/>
        <v>0</v>
      </c>
      <c r="T81">
        <f>SUM($S$26:S82)</f>
        <v>0</v>
      </c>
    </row>
    <row r="82" spans="1:20" x14ac:dyDescent="0.2">
      <c r="A82" s="6"/>
      <c r="B82" s="7"/>
      <c r="C82" s="9" t="str">
        <f t="shared" si="5"/>
        <v/>
      </c>
      <c r="E82" s="25" t="str">
        <f t="shared" si="13"/>
        <v/>
      </c>
      <c r="F82" s="21" t="str">
        <f t="shared" si="7"/>
        <v/>
      </c>
      <c r="G82" s="21" t="str">
        <f t="shared" si="14"/>
        <v/>
      </c>
      <c r="H82" s="21" t="str">
        <f t="shared" si="15"/>
        <v/>
      </c>
      <c r="I82" s="21" t="str">
        <f t="shared" si="16"/>
        <v/>
      </c>
      <c r="J82" s="5"/>
      <c r="K82" s="29"/>
      <c r="M82" s="15">
        <f t="shared" si="8"/>
        <v>-212.58172331953335</v>
      </c>
      <c r="N82" s="15">
        <f t="shared" si="9"/>
        <v>212.58172331953335</v>
      </c>
      <c r="P82" s="9">
        <v>58</v>
      </c>
      <c r="Q82" s="20">
        <f t="shared" si="19"/>
        <v>0</v>
      </c>
      <c r="R82" s="20">
        <f t="shared" si="18"/>
        <v>0</v>
      </c>
      <c r="S82" s="5">
        <f t="shared" si="17"/>
        <v>0</v>
      </c>
      <c r="T82">
        <f>SUM($S$26:S83)</f>
        <v>0</v>
      </c>
    </row>
    <row r="83" spans="1:20" x14ac:dyDescent="0.2">
      <c r="A83" s="6"/>
      <c r="B83" s="7"/>
      <c r="C83" s="9" t="str">
        <f t="shared" si="5"/>
        <v/>
      </c>
      <c r="E83" s="25" t="str">
        <f t="shared" si="13"/>
        <v/>
      </c>
      <c r="F83" s="21" t="str">
        <f t="shared" si="7"/>
        <v/>
      </c>
      <c r="G83" s="21" t="str">
        <f t="shared" si="14"/>
        <v/>
      </c>
      <c r="H83" s="21" t="str">
        <f t="shared" si="15"/>
        <v/>
      </c>
      <c r="I83" s="21" t="str">
        <f t="shared" si="16"/>
        <v/>
      </c>
      <c r="J83" s="5"/>
      <c r="K83" s="29"/>
      <c r="M83" s="15">
        <f t="shared" si="8"/>
        <v>-212.58172331953335</v>
      </c>
      <c r="N83" s="15">
        <f t="shared" si="9"/>
        <v>212.58172331953335</v>
      </c>
      <c r="P83" s="9">
        <v>59</v>
      </c>
      <c r="Q83" s="20">
        <f t="shared" si="19"/>
        <v>0</v>
      </c>
      <c r="R83" s="20">
        <f t="shared" si="18"/>
        <v>0</v>
      </c>
      <c r="S83" s="5">
        <f t="shared" si="17"/>
        <v>0</v>
      </c>
      <c r="T83">
        <f>SUM($S$26:S84)</f>
        <v>0</v>
      </c>
    </row>
    <row r="84" spans="1:20" x14ac:dyDescent="0.2">
      <c r="A84" s="6"/>
      <c r="B84" s="7"/>
      <c r="C84" s="9" t="str">
        <f t="shared" si="5"/>
        <v/>
      </c>
      <c r="E84" s="25" t="str">
        <f t="shared" si="13"/>
        <v/>
      </c>
      <c r="F84" s="21" t="str">
        <f t="shared" si="7"/>
        <v/>
      </c>
      <c r="G84" s="21" t="str">
        <f t="shared" si="14"/>
        <v/>
      </c>
      <c r="H84" s="21" t="str">
        <f t="shared" si="15"/>
        <v/>
      </c>
      <c r="I84" s="21" t="str">
        <f t="shared" si="16"/>
        <v/>
      </c>
      <c r="J84" s="5"/>
      <c r="K84" s="29"/>
      <c r="M84" s="15">
        <f t="shared" si="8"/>
        <v>-212.58172331953335</v>
      </c>
      <c r="N84" s="15">
        <f t="shared" si="9"/>
        <v>212.58172331953335</v>
      </c>
      <c r="P84" s="9">
        <v>60</v>
      </c>
      <c r="Q84" s="20">
        <f t="shared" si="19"/>
        <v>0</v>
      </c>
      <c r="R84" s="20">
        <f t="shared" si="18"/>
        <v>0</v>
      </c>
      <c r="S84" s="5">
        <f t="shared" si="17"/>
        <v>0</v>
      </c>
      <c r="T84">
        <f>SUM($S$26:S85)</f>
        <v>0</v>
      </c>
    </row>
    <row r="85" spans="1:20" x14ac:dyDescent="0.2">
      <c r="A85" s="6"/>
      <c r="B85" s="7"/>
      <c r="C85" s="9" t="str">
        <f t="shared" si="5"/>
        <v/>
      </c>
      <c r="E85" s="25" t="str">
        <f t="shared" si="13"/>
        <v/>
      </c>
      <c r="F85" s="21" t="str">
        <f t="shared" si="7"/>
        <v/>
      </c>
      <c r="G85" s="21" t="str">
        <f t="shared" si="14"/>
        <v/>
      </c>
      <c r="H85" s="21" t="str">
        <f t="shared" si="15"/>
        <v/>
      </c>
      <c r="I85" s="21" t="str">
        <f t="shared" si="16"/>
        <v/>
      </c>
      <c r="J85" s="5"/>
      <c r="K85" s="29"/>
      <c r="M85" s="15">
        <f t="shared" si="8"/>
        <v>-212.58172331953335</v>
      </c>
      <c r="N85" s="15">
        <f t="shared" si="9"/>
        <v>212.58172331953335</v>
      </c>
      <c r="P85" s="9">
        <v>61</v>
      </c>
      <c r="Q85" s="20">
        <f t="shared" si="19"/>
        <v>0</v>
      </c>
      <c r="R85" s="20">
        <f t="shared" si="18"/>
        <v>0</v>
      </c>
      <c r="S85" s="5">
        <f t="shared" si="17"/>
        <v>0</v>
      </c>
      <c r="T85">
        <f>SUM($S$26:S86)</f>
        <v>0</v>
      </c>
    </row>
    <row r="86" spans="1:20" x14ac:dyDescent="0.2">
      <c r="A86" s="6"/>
      <c r="B86" s="7"/>
      <c r="C86" s="9" t="str">
        <f t="shared" si="5"/>
        <v/>
      </c>
      <c r="E86" s="25" t="str">
        <f t="shared" si="13"/>
        <v/>
      </c>
      <c r="F86" s="21" t="str">
        <f t="shared" si="7"/>
        <v/>
      </c>
      <c r="G86" s="21" t="str">
        <f t="shared" si="14"/>
        <v/>
      </c>
      <c r="H86" s="21" t="str">
        <f t="shared" si="15"/>
        <v/>
      </c>
      <c r="I86" s="21" t="str">
        <f t="shared" si="16"/>
        <v/>
      </c>
      <c r="J86" s="5"/>
      <c r="K86" s="29"/>
      <c r="M86" s="15">
        <f t="shared" si="8"/>
        <v>-212.58172331953335</v>
      </c>
      <c r="N86" s="15">
        <f t="shared" si="9"/>
        <v>212.58172331953335</v>
      </c>
      <c r="P86" s="9">
        <v>62</v>
      </c>
      <c r="Q86" s="20">
        <f t="shared" si="19"/>
        <v>0</v>
      </c>
      <c r="R86" s="20">
        <f t="shared" si="18"/>
        <v>0</v>
      </c>
      <c r="S86" s="5">
        <f t="shared" si="17"/>
        <v>0</v>
      </c>
      <c r="T86">
        <f>SUM($S$26:S87)</f>
        <v>0</v>
      </c>
    </row>
    <row r="87" spans="1:20" x14ac:dyDescent="0.2">
      <c r="A87" s="6"/>
      <c r="B87" s="7"/>
      <c r="C87" s="9" t="str">
        <f t="shared" si="5"/>
        <v/>
      </c>
      <c r="E87" s="25" t="str">
        <f t="shared" si="13"/>
        <v/>
      </c>
      <c r="F87" s="21" t="str">
        <f t="shared" si="7"/>
        <v/>
      </c>
      <c r="G87" s="21" t="str">
        <f t="shared" si="14"/>
        <v/>
      </c>
      <c r="H87" s="21" t="str">
        <f t="shared" si="15"/>
        <v/>
      </c>
      <c r="I87" s="21" t="str">
        <f t="shared" si="16"/>
        <v/>
      </c>
      <c r="J87" s="5"/>
      <c r="K87" s="29"/>
      <c r="M87" s="15">
        <f t="shared" si="8"/>
        <v>-212.58172331953335</v>
      </c>
      <c r="N87" s="15">
        <f t="shared" si="9"/>
        <v>212.58172331953335</v>
      </c>
      <c r="P87" s="9">
        <v>63</v>
      </c>
      <c r="Q87" s="20">
        <f t="shared" si="19"/>
        <v>0</v>
      </c>
      <c r="R87" s="20">
        <f t="shared" si="18"/>
        <v>0</v>
      </c>
      <c r="S87" s="5">
        <f t="shared" si="17"/>
        <v>0</v>
      </c>
      <c r="T87">
        <f>SUM($S$26:S88)</f>
        <v>0</v>
      </c>
    </row>
    <row r="88" spans="1:20" x14ac:dyDescent="0.2">
      <c r="A88" s="6"/>
      <c r="B88" s="7"/>
      <c r="C88" s="9" t="str">
        <f t="shared" si="5"/>
        <v/>
      </c>
      <c r="E88" s="25" t="str">
        <f t="shared" si="13"/>
        <v/>
      </c>
      <c r="F88" s="21" t="str">
        <f t="shared" si="7"/>
        <v/>
      </c>
      <c r="G88" s="21" t="str">
        <f t="shared" si="14"/>
        <v/>
      </c>
      <c r="H88" s="21" t="str">
        <f t="shared" si="15"/>
        <v/>
      </c>
      <c r="I88" s="21" t="str">
        <f t="shared" si="16"/>
        <v/>
      </c>
      <c r="J88" s="5"/>
      <c r="K88" s="29"/>
      <c r="M88" s="15">
        <f t="shared" si="8"/>
        <v>-212.58172331953335</v>
      </c>
      <c r="N88" s="15">
        <f t="shared" si="9"/>
        <v>212.58172331953335</v>
      </c>
      <c r="P88" s="9">
        <v>64</v>
      </c>
      <c r="Q88" s="20">
        <f t="shared" si="19"/>
        <v>0</v>
      </c>
      <c r="R88" s="20">
        <f t="shared" si="18"/>
        <v>0</v>
      </c>
      <c r="S88" s="5">
        <f t="shared" si="17"/>
        <v>0</v>
      </c>
      <c r="T88">
        <f>SUM($S$26:S89)</f>
        <v>0</v>
      </c>
    </row>
    <row r="89" spans="1:20" x14ac:dyDescent="0.2">
      <c r="A89" s="6"/>
      <c r="B89" s="7"/>
      <c r="C89" s="9" t="str">
        <f t="shared" si="5"/>
        <v/>
      </c>
      <c r="E89" s="25" t="str">
        <f t="shared" ref="E89:E120" si="20">IF(A89="","",IF(B89="",NA(),LN(B89)))</f>
        <v/>
      </c>
      <c r="F89" s="21" t="str">
        <f t="shared" si="7"/>
        <v/>
      </c>
      <c r="G89" s="21" t="str">
        <f t="shared" ref="G89:G120" si="21">IF(A89="","",EXP(F89))</f>
        <v/>
      </c>
      <c r="H89" s="21" t="str">
        <f t="shared" ref="H89:H120" si="22">IF(A89="","",IF(B89="",NA(),B89-G89))</f>
        <v/>
      </c>
      <c r="I89" s="21" t="str">
        <f t="shared" ref="I89:I120" si="23">IF(A89="","",IF(B89="",NA(),H89^2))</f>
        <v/>
      </c>
      <c r="J89" s="5"/>
      <c r="K89" s="29"/>
      <c r="M89" s="15">
        <f t="shared" si="8"/>
        <v>-212.58172331953335</v>
      </c>
      <c r="N89" s="15">
        <f t="shared" si="9"/>
        <v>212.58172331953335</v>
      </c>
      <c r="P89" s="9">
        <v>65</v>
      </c>
      <c r="Q89" s="20">
        <f t="shared" si="19"/>
        <v>0</v>
      </c>
      <c r="R89" s="20">
        <f t="shared" si="18"/>
        <v>0</v>
      </c>
      <c r="S89" s="5">
        <f t="shared" ref="S89:S120" si="24">IF(C89&gt;$C$15,0,IF(ABS(H89)&gt;=$I$3,1,0))</f>
        <v>0</v>
      </c>
      <c r="T89">
        <f>SUM($S$26:S90)</f>
        <v>0</v>
      </c>
    </row>
    <row r="90" spans="1:20" x14ac:dyDescent="0.2">
      <c r="A90" s="6"/>
      <c r="B90" s="7"/>
      <c r="C90" s="9" t="str">
        <f t="shared" ref="C90:C109" si="25">IF(A90="","",A90)</f>
        <v/>
      </c>
      <c r="E90" s="25" t="str">
        <f t="shared" si="20"/>
        <v/>
      </c>
      <c r="F90" s="21" t="str">
        <f t="shared" ref="F90:F120" si="26">IF(A90="","",$N$17+$N$18*D90)</f>
        <v/>
      </c>
      <c r="G90" s="21" t="str">
        <f t="shared" si="21"/>
        <v/>
      </c>
      <c r="H90" s="21" t="str">
        <f t="shared" si="22"/>
        <v/>
      </c>
      <c r="I90" s="21" t="str">
        <f t="shared" si="23"/>
        <v/>
      </c>
      <c r="J90" s="5"/>
      <c r="K90" s="29"/>
      <c r="M90" s="15">
        <f t="shared" ref="M90:M120" si="27">-$I$3</f>
        <v>-212.58172331953335</v>
      </c>
      <c r="N90" s="15">
        <f t="shared" ref="N90:N120" si="28">$I$3</f>
        <v>212.58172331953335</v>
      </c>
      <c r="P90" s="9">
        <v>66</v>
      </c>
      <c r="Q90" s="20">
        <f t="shared" si="19"/>
        <v>0</v>
      </c>
      <c r="R90" s="20">
        <f t="shared" ref="R90:R120" si="29">IF(B90="",0,+R89+H90^2)</f>
        <v>0</v>
      </c>
      <c r="S90" s="5">
        <f t="shared" si="24"/>
        <v>0</v>
      </c>
      <c r="T90">
        <f>SUM($S$26:S91)</f>
        <v>0</v>
      </c>
    </row>
    <row r="91" spans="1:20" x14ac:dyDescent="0.2">
      <c r="A91" s="6"/>
      <c r="B91" s="7"/>
      <c r="C91" s="9" t="str">
        <f t="shared" si="25"/>
        <v/>
      </c>
      <c r="E91" s="25" t="str">
        <f t="shared" si="20"/>
        <v/>
      </c>
      <c r="F91" s="21" t="str">
        <f t="shared" si="26"/>
        <v/>
      </c>
      <c r="G91" s="21" t="str">
        <f t="shared" si="21"/>
        <v/>
      </c>
      <c r="H91" s="21" t="str">
        <f t="shared" si="22"/>
        <v/>
      </c>
      <c r="I91" s="21" t="str">
        <f t="shared" si="23"/>
        <v/>
      </c>
      <c r="J91" s="5"/>
      <c r="K91" s="29"/>
      <c r="M91" s="15">
        <f t="shared" si="27"/>
        <v>-212.58172331953335</v>
      </c>
      <c r="N91" s="15">
        <f t="shared" si="28"/>
        <v>212.58172331953335</v>
      </c>
      <c r="P91" s="9">
        <v>67</v>
      </c>
      <c r="Q91" s="20">
        <f t="shared" si="19"/>
        <v>0</v>
      </c>
      <c r="R91" s="20">
        <f t="shared" si="29"/>
        <v>0</v>
      </c>
      <c r="S91" s="5">
        <f t="shared" si="24"/>
        <v>0</v>
      </c>
      <c r="T91">
        <f>SUM($S$26:S92)</f>
        <v>0</v>
      </c>
    </row>
    <row r="92" spans="1:20" x14ac:dyDescent="0.2">
      <c r="A92" s="6"/>
      <c r="B92" s="7"/>
      <c r="C92" s="9" t="str">
        <f t="shared" si="25"/>
        <v/>
      </c>
      <c r="E92" s="25" t="str">
        <f t="shared" si="20"/>
        <v/>
      </c>
      <c r="F92" s="21" t="str">
        <f t="shared" si="26"/>
        <v/>
      </c>
      <c r="G92" s="21" t="str">
        <f t="shared" si="21"/>
        <v/>
      </c>
      <c r="H92" s="21" t="str">
        <f t="shared" si="22"/>
        <v/>
      </c>
      <c r="I92" s="21" t="str">
        <f t="shared" si="23"/>
        <v/>
      </c>
      <c r="J92" s="5"/>
      <c r="K92" s="29"/>
      <c r="M92" s="15">
        <f t="shared" si="27"/>
        <v>-212.58172331953335</v>
      </c>
      <c r="N92" s="15">
        <f t="shared" si="28"/>
        <v>212.58172331953335</v>
      </c>
      <c r="P92" s="9">
        <v>68</v>
      </c>
      <c r="Q92" s="20">
        <f t="shared" si="19"/>
        <v>0</v>
      </c>
      <c r="R92" s="20">
        <f t="shared" si="29"/>
        <v>0</v>
      </c>
      <c r="S92" s="5">
        <f t="shared" si="24"/>
        <v>0</v>
      </c>
      <c r="T92">
        <f>SUM($S$26:S93)</f>
        <v>0</v>
      </c>
    </row>
    <row r="93" spans="1:20" x14ac:dyDescent="0.2">
      <c r="A93" s="6"/>
      <c r="B93" s="7"/>
      <c r="C93" s="9" t="str">
        <f t="shared" si="25"/>
        <v/>
      </c>
      <c r="E93" s="25" t="str">
        <f t="shared" si="20"/>
        <v/>
      </c>
      <c r="F93" s="21" t="str">
        <f t="shared" si="26"/>
        <v/>
      </c>
      <c r="G93" s="21" t="str">
        <f t="shared" si="21"/>
        <v/>
      </c>
      <c r="H93" s="21" t="str">
        <f t="shared" si="22"/>
        <v/>
      </c>
      <c r="I93" s="21" t="str">
        <f t="shared" si="23"/>
        <v/>
      </c>
      <c r="J93" s="5"/>
      <c r="K93" s="29"/>
      <c r="M93" s="15">
        <f t="shared" si="27"/>
        <v>-212.58172331953335</v>
      </c>
      <c r="N93" s="15">
        <f t="shared" si="28"/>
        <v>212.58172331953335</v>
      </c>
      <c r="P93" s="9">
        <v>69</v>
      </c>
      <c r="Q93" s="20">
        <f t="shared" si="19"/>
        <v>0</v>
      </c>
      <c r="R93" s="20">
        <f t="shared" si="29"/>
        <v>0</v>
      </c>
      <c r="S93" s="5">
        <f t="shared" si="24"/>
        <v>0</v>
      </c>
      <c r="T93">
        <f>SUM($S$26:S94)</f>
        <v>0</v>
      </c>
    </row>
    <row r="94" spans="1:20" x14ac:dyDescent="0.2">
      <c r="A94" s="6"/>
      <c r="B94" s="7"/>
      <c r="C94" s="9" t="str">
        <f t="shared" si="25"/>
        <v/>
      </c>
      <c r="E94" s="25" t="str">
        <f t="shared" si="20"/>
        <v/>
      </c>
      <c r="F94" s="21" t="str">
        <f t="shared" si="26"/>
        <v/>
      </c>
      <c r="G94" s="21" t="str">
        <f t="shared" si="21"/>
        <v/>
      </c>
      <c r="H94" s="21" t="str">
        <f t="shared" si="22"/>
        <v/>
      </c>
      <c r="I94" s="21" t="str">
        <f t="shared" si="23"/>
        <v/>
      </c>
      <c r="J94" s="5"/>
      <c r="K94" s="29"/>
      <c r="M94" s="15">
        <f t="shared" si="27"/>
        <v>-212.58172331953335</v>
      </c>
      <c r="N94" s="15">
        <f t="shared" si="28"/>
        <v>212.58172331953335</v>
      </c>
      <c r="P94" s="9">
        <v>70</v>
      </c>
      <c r="Q94" s="20">
        <f t="shared" si="19"/>
        <v>0</v>
      </c>
      <c r="R94" s="20">
        <f t="shared" si="29"/>
        <v>0</v>
      </c>
      <c r="S94" s="5">
        <f t="shared" si="24"/>
        <v>0</v>
      </c>
      <c r="T94">
        <f>SUM($S$26:S95)</f>
        <v>0</v>
      </c>
    </row>
    <row r="95" spans="1:20" x14ac:dyDescent="0.2">
      <c r="A95" s="6"/>
      <c r="B95" s="7"/>
      <c r="C95" s="9" t="str">
        <f t="shared" si="25"/>
        <v/>
      </c>
      <c r="E95" s="25" t="str">
        <f t="shared" si="20"/>
        <v/>
      </c>
      <c r="F95" s="21" t="str">
        <f t="shared" si="26"/>
        <v/>
      </c>
      <c r="G95" s="21" t="str">
        <f t="shared" si="21"/>
        <v/>
      </c>
      <c r="H95" s="21" t="str">
        <f t="shared" si="22"/>
        <v/>
      </c>
      <c r="I95" s="21" t="str">
        <f t="shared" si="23"/>
        <v/>
      </c>
      <c r="J95" s="5"/>
      <c r="K95" s="29"/>
      <c r="M95" s="15">
        <f t="shared" si="27"/>
        <v>-212.58172331953335</v>
      </c>
      <c r="N95" s="15">
        <f t="shared" si="28"/>
        <v>212.58172331953335</v>
      </c>
      <c r="P95" s="9">
        <v>71</v>
      </c>
      <c r="Q95" s="20">
        <f t="shared" si="19"/>
        <v>0</v>
      </c>
      <c r="R95" s="20">
        <f t="shared" si="29"/>
        <v>0</v>
      </c>
      <c r="S95" s="5">
        <f t="shared" si="24"/>
        <v>0</v>
      </c>
      <c r="T95">
        <f>SUM($S$26:S96)</f>
        <v>0</v>
      </c>
    </row>
    <row r="96" spans="1:20" x14ac:dyDescent="0.2">
      <c r="A96" s="6"/>
      <c r="B96" s="7"/>
      <c r="C96" s="9" t="str">
        <f t="shared" si="25"/>
        <v/>
      </c>
      <c r="E96" s="25" t="str">
        <f t="shared" si="20"/>
        <v/>
      </c>
      <c r="F96" s="21" t="str">
        <f t="shared" si="26"/>
        <v/>
      </c>
      <c r="G96" s="21" t="str">
        <f t="shared" si="21"/>
        <v/>
      </c>
      <c r="H96" s="21" t="str">
        <f t="shared" si="22"/>
        <v/>
      </c>
      <c r="I96" s="21" t="str">
        <f t="shared" si="23"/>
        <v/>
      </c>
      <c r="J96" s="5"/>
      <c r="K96" s="29"/>
      <c r="M96" s="15">
        <f t="shared" si="27"/>
        <v>-212.58172331953335</v>
      </c>
      <c r="N96" s="15">
        <f t="shared" si="28"/>
        <v>212.58172331953335</v>
      </c>
      <c r="P96" s="9">
        <v>72</v>
      </c>
      <c r="Q96" s="20">
        <f t="shared" si="19"/>
        <v>0</v>
      </c>
      <c r="R96" s="20">
        <f t="shared" si="29"/>
        <v>0</v>
      </c>
      <c r="S96" s="5">
        <f t="shared" si="24"/>
        <v>0</v>
      </c>
      <c r="T96">
        <f>SUM($S$26:S97)</f>
        <v>0</v>
      </c>
    </row>
    <row r="97" spans="1:20" x14ac:dyDescent="0.2">
      <c r="A97" s="6"/>
      <c r="B97" s="7"/>
      <c r="C97" s="9" t="str">
        <f t="shared" si="25"/>
        <v/>
      </c>
      <c r="E97" s="25" t="str">
        <f t="shared" si="20"/>
        <v/>
      </c>
      <c r="F97" s="21" t="str">
        <f t="shared" si="26"/>
        <v/>
      </c>
      <c r="G97" s="21" t="str">
        <f t="shared" si="21"/>
        <v/>
      </c>
      <c r="H97" s="21" t="str">
        <f t="shared" si="22"/>
        <v/>
      </c>
      <c r="I97" s="21" t="str">
        <f t="shared" si="23"/>
        <v/>
      </c>
      <c r="J97" s="5"/>
      <c r="K97" s="29"/>
      <c r="M97" s="15">
        <f t="shared" si="27"/>
        <v>-212.58172331953335</v>
      </c>
      <c r="N97" s="15">
        <f t="shared" si="28"/>
        <v>212.58172331953335</v>
      </c>
      <c r="P97" s="9">
        <v>73</v>
      </c>
      <c r="Q97" s="20">
        <f t="shared" si="19"/>
        <v>0</v>
      </c>
      <c r="R97" s="20">
        <f t="shared" si="29"/>
        <v>0</v>
      </c>
      <c r="S97" s="5">
        <f t="shared" si="24"/>
        <v>0</v>
      </c>
      <c r="T97">
        <f>SUM($S$26:S98)</f>
        <v>0</v>
      </c>
    </row>
    <row r="98" spans="1:20" x14ac:dyDescent="0.2">
      <c r="A98" s="6"/>
      <c r="B98" s="7"/>
      <c r="C98" s="9" t="str">
        <f t="shared" si="25"/>
        <v/>
      </c>
      <c r="E98" s="25" t="str">
        <f t="shared" si="20"/>
        <v/>
      </c>
      <c r="F98" s="21" t="str">
        <f t="shared" si="26"/>
        <v/>
      </c>
      <c r="G98" s="21" t="str">
        <f t="shared" si="21"/>
        <v/>
      </c>
      <c r="H98" s="21" t="str">
        <f t="shared" si="22"/>
        <v/>
      </c>
      <c r="I98" s="21" t="str">
        <f t="shared" si="23"/>
        <v/>
      </c>
      <c r="J98" s="5"/>
      <c r="K98" s="29"/>
      <c r="M98" s="15">
        <f t="shared" si="27"/>
        <v>-212.58172331953335</v>
      </c>
      <c r="N98" s="15">
        <f t="shared" si="28"/>
        <v>212.58172331953335</v>
      </c>
      <c r="P98" s="9">
        <v>74</v>
      </c>
      <c r="Q98" s="20">
        <f t="shared" ref="Q98:Q120" si="30">IF(C98&gt;$C$15,0,+Q97+ABS(H98))</f>
        <v>0</v>
      </c>
      <c r="R98" s="20">
        <f t="shared" si="29"/>
        <v>0</v>
      </c>
      <c r="S98" s="5">
        <f t="shared" si="24"/>
        <v>0</v>
      </c>
      <c r="T98">
        <f>SUM($S$26:S99)</f>
        <v>0</v>
      </c>
    </row>
    <row r="99" spans="1:20" x14ac:dyDescent="0.2">
      <c r="A99" s="6"/>
      <c r="B99" s="7"/>
      <c r="C99" s="9" t="str">
        <f t="shared" si="25"/>
        <v/>
      </c>
      <c r="E99" s="25" t="str">
        <f t="shared" si="20"/>
        <v/>
      </c>
      <c r="F99" s="21" t="str">
        <f t="shared" si="26"/>
        <v/>
      </c>
      <c r="G99" s="21" t="str">
        <f t="shared" si="21"/>
        <v/>
      </c>
      <c r="H99" s="21" t="str">
        <f t="shared" si="22"/>
        <v/>
      </c>
      <c r="I99" s="21" t="str">
        <f t="shared" si="23"/>
        <v/>
      </c>
      <c r="J99" s="5"/>
      <c r="K99" s="29"/>
      <c r="M99" s="15">
        <f t="shared" si="27"/>
        <v>-212.58172331953335</v>
      </c>
      <c r="N99" s="15">
        <f t="shared" si="28"/>
        <v>212.58172331953335</v>
      </c>
      <c r="P99" s="9">
        <v>75</v>
      </c>
      <c r="Q99" s="20">
        <f t="shared" si="30"/>
        <v>0</v>
      </c>
      <c r="R99" s="20">
        <f t="shared" si="29"/>
        <v>0</v>
      </c>
      <c r="S99" s="5">
        <f t="shared" si="24"/>
        <v>0</v>
      </c>
      <c r="T99">
        <f>SUM($S$26:S100)</f>
        <v>0</v>
      </c>
    </row>
    <row r="100" spans="1:20" x14ac:dyDescent="0.2">
      <c r="A100" s="6"/>
      <c r="B100" s="7"/>
      <c r="C100" s="9" t="str">
        <f t="shared" si="25"/>
        <v/>
      </c>
      <c r="E100" s="25" t="str">
        <f t="shared" si="20"/>
        <v/>
      </c>
      <c r="F100" s="21" t="str">
        <f t="shared" si="26"/>
        <v/>
      </c>
      <c r="G100" s="21" t="str">
        <f t="shared" si="21"/>
        <v/>
      </c>
      <c r="H100" s="21" t="str">
        <f t="shared" si="22"/>
        <v/>
      </c>
      <c r="I100" s="21" t="str">
        <f t="shared" si="23"/>
        <v/>
      </c>
      <c r="J100" s="5"/>
      <c r="K100" s="29"/>
      <c r="M100" s="15">
        <f t="shared" si="27"/>
        <v>-212.58172331953335</v>
      </c>
      <c r="N100" s="15">
        <f t="shared" si="28"/>
        <v>212.58172331953335</v>
      </c>
      <c r="P100" s="9">
        <v>76</v>
      </c>
      <c r="Q100" s="20">
        <f t="shared" si="30"/>
        <v>0</v>
      </c>
      <c r="R100" s="20">
        <f t="shared" si="29"/>
        <v>0</v>
      </c>
      <c r="S100" s="5">
        <f t="shared" si="24"/>
        <v>0</v>
      </c>
      <c r="T100">
        <f>SUM($S$26:S101)</f>
        <v>0</v>
      </c>
    </row>
    <row r="101" spans="1:20" x14ac:dyDescent="0.2">
      <c r="A101" s="6"/>
      <c r="B101" s="7"/>
      <c r="C101" s="9" t="str">
        <f t="shared" si="25"/>
        <v/>
      </c>
      <c r="E101" s="25" t="str">
        <f t="shared" si="20"/>
        <v/>
      </c>
      <c r="F101" s="21" t="str">
        <f t="shared" si="26"/>
        <v/>
      </c>
      <c r="G101" s="21" t="str">
        <f t="shared" si="21"/>
        <v/>
      </c>
      <c r="H101" s="21" t="str">
        <f t="shared" si="22"/>
        <v/>
      </c>
      <c r="I101" s="21" t="str">
        <f t="shared" si="23"/>
        <v/>
      </c>
      <c r="J101" s="5"/>
      <c r="K101" s="29"/>
      <c r="M101" s="15">
        <f t="shared" si="27"/>
        <v>-212.58172331953335</v>
      </c>
      <c r="N101" s="15">
        <f t="shared" si="28"/>
        <v>212.58172331953335</v>
      </c>
      <c r="P101" s="9">
        <v>77</v>
      </c>
      <c r="Q101" s="20">
        <f t="shared" si="30"/>
        <v>0</v>
      </c>
      <c r="R101" s="20">
        <f t="shared" si="29"/>
        <v>0</v>
      </c>
      <c r="S101" s="5">
        <f t="shared" si="24"/>
        <v>0</v>
      </c>
      <c r="T101">
        <f>SUM($S$26:S102)</f>
        <v>0</v>
      </c>
    </row>
    <row r="102" spans="1:20" x14ac:dyDescent="0.2">
      <c r="A102" s="6"/>
      <c r="B102" s="7"/>
      <c r="C102" s="9" t="str">
        <f t="shared" si="25"/>
        <v/>
      </c>
      <c r="E102" s="25" t="str">
        <f t="shared" si="20"/>
        <v/>
      </c>
      <c r="F102" s="21" t="str">
        <f t="shared" si="26"/>
        <v/>
      </c>
      <c r="G102" s="21" t="str">
        <f t="shared" si="21"/>
        <v/>
      </c>
      <c r="H102" s="21" t="str">
        <f t="shared" si="22"/>
        <v/>
      </c>
      <c r="I102" s="21" t="str">
        <f t="shared" si="23"/>
        <v/>
      </c>
      <c r="J102" s="5"/>
      <c r="K102" s="29"/>
      <c r="M102" s="15">
        <f t="shared" si="27"/>
        <v>-212.58172331953335</v>
      </c>
      <c r="N102" s="15">
        <f t="shared" si="28"/>
        <v>212.58172331953335</v>
      </c>
      <c r="P102" s="9">
        <v>78</v>
      </c>
      <c r="Q102" s="20">
        <f t="shared" si="30"/>
        <v>0</v>
      </c>
      <c r="R102" s="20">
        <f t="shared" si="29"/>
        <v>0</v>
      </c>
      <c r="S102" s="5">
        <f t="shared" si="24"/>
        <v>0</v>
      </c>
      <c r="T102">
        <f>SUM($S$26:S103)</f>
        <v>0</v>
      </c>
    </row>
    <row r="103" spans="1:20" x14ac:dyDescent="0.2">
      <c r="A103" s="6"/>
      <c r="B103" s="7"/>
      <c r="C103" s="9" t="str">
        <f t="shared" si="25"/>
        <v/>
      </c>
      <c r="E103" s="25" t="str">
        <f t="shared" si="20"/>
        <v/>
      </c>
      <c r="F103" s="21" t="str">
        <f t="shared" si="26"/>
        <v/>
      </c>
      <c r="G103" s="21" t="str">
        <f t="shared" si="21"/>
        <v/>
      </c>
      <c r="H103" s="21" t="str">
        <f t="shared" si="22"/>
        <v/>
      </c>
      <c r="I103" s="21" t="str">
        <f t="shared" si="23"/>
        <v/>
      </c>
      <c r="J103" s="5"/>
      <c r="K103" s="29"/>
      <c r="M103" s="15">
        <f t="shared" si="27"/>
        <v>-212.58172331953335</v>
      </c>
      <c r="N103" s="15">
        <f t="shared" si="28"/>
        <v>212.58172331953335</v>
      </c>
      <c r="P103" s="9">
        <v>79</v>
      </c>
      <c r="Q103" s="20">
        <f t="shared" si="30"/>
        <v>0</v>
      </c>
      <c r="R103" s="20">
        <f t="shared" si="29"/>
        <v>0</v>
      </c>
      <c r="S103" s="5">
        <f t="shared" si="24"/>
        <v>0</v>
      </c>
      <c r="T103">
        <f>SUM($S$26:S104)</f>
        <v>0</v>
      </c>
    </row>
    <row r="104" spans="1:20" x14ac:dyDescent="0.2">
      <c r="A104" s="6"/>
      <c r="B104" s="7"/>
      <c r="C104" s="9" t="str">
        <f t="shared" si="25"/>
        <v/>
      </c>
      <c r="E104" s="25" t="str">
        <f t="shared" si="20"/>
        <v/>
      </c>
      <c r="F104" s="21" t="str">
        <f t="shared" si="26"/>
        <v/>
      </c>
      <c r="G104" s="21" t="str">
        <f t="shared" si="21"/>
        <v/>
      </c>
      <c r="H104" s="21" t="str">
        <f t="shared" si="22"/>
        <v/>
      </c>
      <c r="I104" s="21" t="str">
        <f t="shared" si="23"/>
        <v/>
      </c>
      <c r="J104" s="5"/>
      <c r="K104" s="29"/>
      <c r="M104" s="15">
        <f t="shared" si="27"/>
        <v>-212.58172331953335</v>
      </c>
      <c r="N104" s="15">
        <f t="shared" si="28"/>
        <v>212.58172331953335</v>
      </c>
      <c r="P104" s="9">
        <v>80</v>
      </c>
      <c r="Q104" s="20">
        <f t="shared" si="30"/>
        <v>0</v>
      </c>
      <c r="R104" s="20">
        <f t="shared" si="29"/>
        <v>0</v>
      </c>
      <c r="S104" s="5">
        <f t="shared" si="24"/>
        <v>0</v>
      </c>
      <c r="T104">
        <f>SUM($S$26:S105)</f>
        <v>0</v>
      </c>
    </row>
    <row r="105" spans="1:20" x14ac:dyDescent="0.2">
      <c r="A105" s="6"/>
      <c r="B105" s="7"/>
      <c r="C105" s="9" t="str">
        <f t="shared" si="25"/>
        <v/>
      </c>
      <c r="E105" s="25" t="str">
        <f t="shared" si="20"/>
        <v/>
      </c>
      <c r="F105" s="21" t="str">
        <f t="shared" si="26"/>
        <v/>
      </c>
      <c r="G105" s="21" t="str">
        <f t="shared" si="21"/>
        <v/>
      </c>
      <c r="H105" s="21" t="str">
        <f t="shared" si="22"/>
        <v/>
      </c>
      <c r="I105" s="21" t="str">
        <f t="shared" si="23"/>
        <v/>
      </c>
      <c r="J105" s="5"/>
      <c r="K105" s="29"/>
      <c r="M105" s="15">
        <f t="shared" si="27"/>
        <v>-212.58172331953335</v>
      </c>
      <c r="N105" s="15">
        <f t="shared" si="28"/>
        <v>212.58172331953335</v>
      </c>
      <c r="P105" s="9">
        <v>81</v>
      </c>
      <c r="Q105" s="20">
        <f t="shared" si="30"/>
        <v>0</v>
      </c>
      <c r="R105" s="20">
        <f t="shared" si="29"/>
        <v>0</v>
      </c>
      <c r="S105" s="5">
        <f t="shared" si="24"/>
        <v>0</v>
      </c>
      <c r="T105">
        <f>SUM($S$26:S106)</f>
        <v>0</v>
      </c>
    </row>
    <row r="106" spans="1:20" x14ac:dyDescent="0.2">
      <c r="A106" s="6"/>
      <c r="B106" s="7"/>
      <c r="C106" s="9" t="str">
        <f t="shared" si="25"/>
        <v/>
      </c>
      <c r="E106" s="25" t="str">
        <f t="shared" si="20"/>
        <v/>
      </c>
      <c r="F106" s="21" t="str">
        <f t="shared" si="26"/>
        <v/>
      </c>
      <c r="G106" s="21" t="str">
        <f t="shared" si="21"/>
        <v/>
      </c>
      <c r="H106" s="21" t="str">
        <f t="shared" si="22"/>
        <v/>
      </c>
      <c r="I106" s="21" t="str">
        <f t="shared" si="23"/>
        <v/>
      </c>
      <c r="J106" s="5"/>
      <c r="K106" s="29"/>
      <c r="M106" s="15">
        <f t="shared" si="27"/>
        <v>-212.58172331953335</v>
      </c>
      <c r="N106" s="15">
        <f t="shared" si="28"/>
        <v>212.58172331953335</v>
      </c>
      <c r="P106" s="9">
        <v>82</v>
      </c>
      <c r="Q106" s="20">
        <f t="shared" si="30"/>
        <v>0</v>
      </c>
      <c r="R106" s="20">
        <f t="shared" si="29"/>
        <v>0</v>
      </c>
      <c r="S106" s="5">
        <f t="shared" si="24"/>
        <v>0</v>
      </c>
      <c r="T106">
        <f>SUM($S$26:S107)</f>
        <v>0</v>
      </c>
    </row>
    <row r="107" spans="1:20" x14ac:dyDescent="0.2">
      <c r="A107" s="6"/>
      <c r="B107" s="7"/>
      <c r="C107" s="9" t="str">
        <f t="shared" si="25"/>
        <v/>
      </c>
      <c r="E107" s="25" t="str">
        <f t="shared" si="20"/>
        <v/>
      </c>
      <c r="F107" s="21" t="str">
        <f t="shared" si="26"/>
        <v/>
      </c>
      <c r="G107" s="21" t="str">
        <f t="shared" si="21"/>
        <v/>
      </c>
      <c r="H107" s="21" t="str">
        <f t="shared" si="22"/>
        <v/>
      </c>
      <c r="I107" s="21" t="str">
        <f t="shared" si="23"/>
        <v/>
      </c>
      <c r="J107" s="5"/>
      <c r="K107" s="29"/>
      <c r="M107" s="15">
        <f t="shared" si="27"/>
        <v>-212.58172331953335</v>
      </c>
      <c r="N107" s="15">
        <f t="shared" si="28"/>
        <v>212.58172331953335</v>
      </c>
      <c r="P107" s="9">
        <v>83</v>
      </c>
      <c r="Q107" s="20">
        <f t="shared" si="30"/>
        <v>0</v>
      </c>
      <c r="R107" s="20">
        <f t="shared" si="29"/>
        <v>0</v>
      </c>
      <c r="S107" s="5">
        <f t="shared" si="24"/>
        <v>0</v>
      </c>
      <c r="T107">
        <f>SUM($S$26:S108)</f>
        <v>0</v>
      </c>
    </row>
    <row r="108" spans="1:20" x14ac:dyDescent="0.2">
      <c r="A108" s="6"/>
      <c r="B108" s="7"/>
      <c r="C108" s="9" t="str">
        <f t="shared" si="25"/>
        <v/>
      </c>
      <c r="E108" s="25" t="str">
        <f t="shared" si="20"/>
        <v/>
      </c>
      <c r="F108" s="21" t="str">
        <f t="shared" si="26"/>
        <v/>
      </c>
      <c r="G108" s="21" t="str">
        <f t="shared" si="21"/>
        <v/>
      </c>
      <c r="H108" s="21" t="str">
        <f t="shared" si="22"/>
        <v/>
      </c>
      <c r="I108" s="21" t="str">
        <f t="shared" si="23"/>
        <v/>
      </c>
      <c r="J108" s="5"/>
      <c r="K108" s="29"/>
      <c r="M108" s="15">
        <f t="shared" si="27"/>
        <v>-212.58172331953335</v>
      </c>
      <c r="N108" s="15">
        <f t="shared" si="28"/>
        <v>212.58172331953335</v>
      </c>
      <c r="P108" s="9">
        <v>84</v>
      </c>
      <c r="Q108" s="20">
        <f t="shared" si="30"/>
        <v>0</v>
      </c>
      <c r="R108" s="20">
        <f t="shared" si="29"/>
        <v>0</v>
      </c>
      <c r="S108" s="5">
        <f t="shared" si="24"/>
        <v>0</v>
      </c>
      <c r="T108">
        <f>SUM($S$26:S109)</f>
        <v>0</v>
      </c>
    </row>
    <row r="109" spans="1:20" x14ac:dyDescent="0.2">
      <c r="A109" s="6"/>
      <c r="B109" s="7"/>
      <c r="C109" s="9" t="str">
        <f t="shared" si="25"/>
        <v/>
      </c>
      <c r="E109" s="25" t="str">
        <f t="shared" si="20"/>
        <v/>
      </c>
      <c r="F109" s="21" t="str">
        <f t="shared" si="26"/>
        <v/>
      </c>
      <c r="G109" s="21" t="str">
        <f t="shared" si="21"/>
        <v/>
      </c>
      <c r="H109" s="21" t="str">
        <f t="shared" si="22"/>
        <v/>
      </c>
      <c r="I109" s="21" t="str">
        <f t="shared" si="23"/>
        <v/>
      </c>
      <c r="J109" s="5"/>
      <c r="K109" s="29"/>
      <c r="M109" s="15">
        <f t="shared" si="27"/>
        <v>-212.58172331953335</v>
      </c>
      <c r="N109" s="15">
        <f t="shared" si="28"/>
        <v>212.58172331953335</v>
      </c>
      <c r="P109" s="9">
        <v>85</v>
      </c>
      <c r="Q109" s="20">
        <f t="shared" si="30"/>
        <v>0</v>
      </c>
      <c r="R109" s="20">
        <f t="shared" si="29"/>
        <v>0</v>
      </c>
      <c r="S109" s="5">
        <f t="shared" si="24"/>
        <v>0</v>
      </c>
      <c r="T109">
        <f>SUM($S$26:S110)</f>
        <v>0</v>
      </c>
    </row>
    <row r="110" spans="1:20" x14ac:dyDescent="0.2">
      <c r="A110" s="6"/>
      <c r="B110" s="7"/>
      <c r="C110" s="9" t="str">
        <f>IF(A110="","",A110)</f>
        <v/>
      </c>
      <c r="E110" s="25" t="str">
        <f t="shared" si="20"/>
        <v/>
      </c>
      <c r="F110" s="21" t="str">
        <f t="shared" si="26"/>
        <v/>
      </c>
      <c r="G110" s="21" t="str">
        <f t="shared" si="21"/>
        <v/>
      </c>
      <c r="H110" s="21" t="str">
        <f t="shared" si="22"/>
        <v/>
      </c>
      <c r="I110" s="21" t="str">
        <f t="shared" si="23"/>
        <v/>
      </c>
      <c r="J110" s="5"/>
      <c r="K110" s="29"/>
      <c r="M110" s="15">
        <f t="shared" si="27"/>
        <v>-212.58172331953335</v>
      </c>
      <c r="N110" s="15">
        <f t="shared" si="28"/>
        <v>212.58172331953335</v>
      </c>
      <c r="P110" s="9">
        <v>86</v>
      </c>
      <c r="Q110" s="20">
        <f t="shared" si="30"/>
        <v>0</v>
      </c>
      <c r="R110" s="20">
        <f t="shared" si="29"/>
        <v>0</v>
      </c>
      <c r="S110" s="5">
        <f t="shared" si="24"/>
        <v>0</v>
      </c>
      <c r="T110">
        <f>SUM($S$26:S111)</f>
        <v>0</v>
      </c>
    </row>
    <row r="111" spans="1:20" x14ac:dyDescent="0.2">
      <c r="A111" s="6"/>
      <c r="B111" s="7"/>
      <c r="C111" s="9" t="str">
        <f t="shared" ref="C111:C120" si="31">IF(A111="","",A111)</f>
        <v/>
      </c>
      <c r="E111" s="25" t="str">
        <f t="shared" si="20"/>
        <v/>
      </c>
      <c r="F111" s="21" t="str">
        <f t="shared" si="26"/>
        <v/>
      </c>
      <c r="G111" s="21" t="str">
        <f t="shared" si="21"/>
        <v/>
      </c>
      <c r="H111" s="21" t="str">
        <f t="shared" si="22"/>
        <v/>
      </c>
      <c r="I111" s="21" t="str">
        <f t="shared" si="23"/>
        <v/>
      </c>
      <c r="J111" s="5"/>
      <c r="K111" s="29"/>
      <c r="M111" s="15">
        <f t="shared" si="27"/>
        <v>-212.58172331953335</v>
      </c>
      <c r="N111" s="15">
        <f t="shared" si="28"/>
        <v>212.58172331953335</v>
      </c>
      <c r="P111" s="9">
        <v>87</v>
      </c>
      <c r="Q111" s="20">
        <f t="shared" si="30"/>
        <v>0</v>
      </c>
      <c r="R111" s="20">
        <f t="shared" si="29"/>
        <v>0</v>
      </c>
      <c r="S111" s="5">
        <f t="shared" si="24"/>
        <v>0</v>
      </c>
      <c r="T111">
        <f>SUM($S$26:S112)</f>
        <v>0</v>
      </c>
    </row>
    <row r="112" spans="1:20" x14ac:dyDescent="0.2">
      <c r="A112" s="6"/>
      <c r="B112" s="7"/>
      <c r="C112" s="9" t="str">
        <f t="shared" si="31"/>
        <v/>
      </c>
      <c r="E112" s="25" t="str">
        <f t="shared" si="20"/>
        <v/>
      </c>
      <c r="F112" s="21" t="str">
        <f t="shared" si="26"/>
        <v/>
      </c>
      <c r="G112" s="21" t="str">
        <f t="shared" si="21"/>
        <v/>
      </c>
      <c r="H112" s="21" t="str">
        <f t="shared" si="22"/>
        <v/>
      </c>
      <c r="I112" s="21" t="str">
        <f t="shared" si="23"/>
        <v/>
      </c>
      <c r="J112" s="5"/>
      <c r="K112" s="29"/>
      <c r="M112" s="15">
        <f t="shared" si="27"/>
        <v>-212.58172331953335</v>
      </c>
      <c r="N112" s="15">
        <f t="shared" si="28"/>
        <v>212.58172331953335</v>
      </c>
      <c r="P112" s="9">
        <v>88</v>
      </c>
      <c r="Q112" s="20">
        <f t="shared" si="30"/>
        <v>0</v>
      </c>
      <c r="R112" s="20">
        <f t="shared" si="29"/>
        <v>0</v>
      </c>
      <c r="S112" s="5">
        <f t="shared" si="24"/>
        <v>0</v>
      </c>
      <c r="T112">
        <f>SUM($S$26:S113)</f>
        <v>0</v>
      </c>
    </row>
    <row r="113" spans="1:20" x14ac:dyDescent="0.2">
      <c r="A113" s="6"/>
      <c r="B113" s="7"/>
      <c r="C113" s="9" t="str">
        <f t="shared" si="31"/>
        <v/>
      </c>
      <c r="E113" s="25" t="str">
        <f t="shared" si="20"/>
        <v/>
      </c>
      <c r="F113" s="21" t="str">
        <f t="shared" si="26"/>
        <v/>
      </c>
      <c r="G113" s="21" t="str">
        <f t="shared" si="21"/>
        <v/>
      </c>
      <c r="H113" s="21" t="str">
        <f t="shared" si="22"/>
        <v/>
      </c>
      <c r="I113" s="21" t="str">
        <f t="shared" si="23"/>
        <v/>
      </c>
      <c r="J113" s="5"/>
      <c r="K113" s="29"/>
      <c r="M113" s="15">
        <f t="shared" si="27"/>
        <v>-212.58172331953335</v>
      </c>
      <c r="N113" s="15">
        <f t="shared" si="28"/>
        <v>212.58172331953335</v>
      </c>
      <c r="P113" s="9">
        <v>89</v>
      </c>
      <c r="Q113" s="20">
        <f t="shared" si="30"/>
        <v>0</v>
      </c>
      <c r="R113" s="20">
        <f t="shared" si="29"/>
        <v>0</v>
      </c>
      <c r="S113" s="5">
        <f t="shared" si="24"/>
        <v>0</v>
      </c>
      <c r="T113">
        <f>SUM($S$26:S114)</f>
        <v>0</v>
      </c>
    </row>
    <row r="114" spans="1:20" x14ac:dyDescent="0.2">
      <c r="A114" s="6"/>
      <c r="B114" s="7"/>
      <c r="C114" s="9" t="str">
        <f t="shared" si="31"/>
        <v/>
      </c>
      <c r="E114" s="25" t="str">
        <f t="shared" si="20"/>
        <v/>
      </c>
      <c r="F114" s="21" t="str">
        <f t="shared" si="26"/>
        <v/>
      </c>
      <c r="G114" s="21" t="str">
        <f t="shared" si="21"/>
        <v/>
      </c>
      <c r="H114" s="21" t="str">
        <f t="shared" si="22"/>
        <v/>
      </c>
      <c r="I114" s="21" t="str">
        <f t="shared" si="23"/>
        <v/>
      </c>
      <c r="J114" s="5"/>
      <c r="K114" s="29"/>
      <c r="M114" s="15">
        <f t="shared" si="27"/>
        <v>-212.58172331953335</v>
      </c>
      <c r="N114" s="15">
        <f t="shared" si="28"/>
        <v>212.58172331953335</v>
      </c>
      <c r="P114" s="9">
        <v>90</v>
      </c>
      <c r="Q114" s="20">
        <f t="shared" si="30"/>
        <v>0</v>
      </c>
      <c r="R114" s="20">
        <f t="shared" si="29"/>
        <v>0</v>
      </c>
      <c r="S114" s="5">
        <f t="shared" si="24"/>
        <v>0</v>
      </c>
      <c r="T114">
        <f>SUM($S$26:S115)</f>
        <v>0</v>
      </c>
    </row>
    <row r="115" spans="1:20" x14ac:dyDescent="0.2">
      <c r="A115" s="6"/>
      <c r="B115" s="7"/>
      <c r="C115" s="9" t="str">
        <f t="shared" si="31"/>
        <v/>
      </c>
      <c r="E115" s="25" t="str">
        <f t="shared" si="20"/>
        <v/>
      </c>
      <c r="F115" s="21" t="str">
        <f t="shared" si="26"/>
        <v/>
      </c>
      <c r="G115" s="21" t="str">
        <f t="shared" si="21"/>
        <v/>
      </c>
      <c r="H115" s="21" t="str">
        <f t="shared" si="22"/>
        <v/>
      </c>
      <c r="I115" s="21" t="str">
        <f t="shared" si="23"/>
        <v/>
      </c>
      <c r="J115" s="5"/>
      <c r="K115" s="29"/>
      <c r="M115" s="15">
        <f t="shared" si="27"/>
        <v>-212.58172331953335</v>
      </c>
      <c r="N115" s="15">
        <f t="shared" si="28"/>
        <v>212.58172331953335</v>
      </c>
      <c r="P115" s="9">
        <v>91</v>
      </c>
      <c r="Q115" s="20">
        <f t="shared" si="30"/>
        <v>0</v>
      </c>
      <c r="R115" s="20">
        <f t="shared" si="29"/>
        <v>0</v>
      </c>
      <c r="S115" s="5">
        <f t="shared" si="24"/>
        <v>0</v>
      </c>
      <c r="T115">
        <f>SUM($S$26:S116)</f>
        <v>0</v>
      </c>
    </row>
    <row r="116" spans="1:20" x14ac:dyDescent="0.2">
      <c r="A116" s="6"/>
      <c r="B116" s="7"/>
      <c r="C116" s="9" t="str">
        <f t="shared" si="31"/>
        <v/>
      </c>
      <c r="E116" s="25" t="str">
        <f t="shared" si="20"/>
        <v/>
      </c>
      <c r="F116" s="21" t="str">
        <f t="shared" si="26"/>
        <v/>
      </c>
      <c r="G116" s="21" t="str">
        <f t="shared" si="21"/>
        <v/>
      </c>
      <c r="H116" s="21" t="str">
        <f t="shared" si="22"/>
        <v/>
      </c>
      <c r="I116" s="21" t="str">
        <f t="shared" si="23"/>
        <v/>
      </c>
      <c r="J116" s="5"/>
      <c r="K116" s="29"/>
      <c r="M116" s="15">
        <f t="shared" si="27"/>
        <v>-212.58172331953335</v>
      </c>
      <c r="N116" s="15">
        <f t="shared" si="28"/>
        <v>212.58172331953335</v>
      </c>
      <c r="P116" s="9">
        <v>92</v>
      </c>
      <c r="Q116" s="20">
        <f t="shared" si="30"/>
        <v>0</v>
      </c>
      <c r="R116" s="20">
        <f t="shared" si="29"/>
        <v>0</v>
      </c>
      <c r="S116" s="5">
        <f t="shared" si="24"/>
        <v>0</v>
      </c>
      <c r="T116">
        <f>SUM($S$26:S117)</f>
        <v>0</v>
      </c>
    </row>
    <row r="117" spans="1:20" x14ac:dyDescent="0.2">
      <c r="A117" s="6"/>
      <c r="B117" s="7"/>
      <c r="C117" s="9" t="str">
        <f t="shared" si="31"/>
        <v/>
      </c>
      <c r="E117" s="25" t="str">
        <f t="shared" si="20"/>
        <v/>
      </c>
      <c r="F117" s="21" t="str">
        <f t="shared" si="26"/>
        <v/>
      </c>
      <c r="G117" s="21" t="str">
        <f t="shared" si="21"/>
        <v/>
      </c>
      <c r="H117" s="21" t="str">
        <f t="shared" si="22"/>
        <v/>
      </c>
      <c r="I117" s="21" t="str">
        <f t="shared" si="23"/>
        <v/>
      </c>
      <c r="J117" s="5"/>
      <c r="K117" s="29"/>
      <c r="M117" s="15">
        <f t="shared" si="27"/>
        <v>-212.58172331953335</v>
      </c>
      <c r="N117" s="15">
        <f t="shared" si="28"/>
        <v>212.58172331953335</v>
      </c>
      <c r="P117" s="9">
        <v>93</v>
      </c>
      <c r="Q117" s="20">
        <f t="shared" si="30"/>
        <v>0</v>
      </c>
      <c r="R117" s="20">
        <f t="shared" si="29"/>
        <v>0</v>
      </c>
      <c r="S117" s="5">
        <f t="shared" si="24"/>
        <v>0</v>
      </c>
      <c r="T117">
        <f>SUM($S$26:S118)</f>
        <v>0</v>
      </c>
    </row>
    <row r="118" spans="1:20" x14ac:dyDescent="0.2">
      <c r="A118" s="6"/>
      <c r="B118" s="7"/>
      <c r="C118" s="9" t="str">
        <f t="shared" si="31"/>
        <v/>
      </c>
      <c r="E118" s="25" t="str">
        <f t="shared" si="20"/>
        <v/>
      </c>
      <c r="F118" s="21" t="str">
        <f t="shared" si="26"/>
        <v/>
      </c>
      <c r="G118" s="21" t="str">
        <f t="shared" si="21"/>
        <v/>
      </c>
      <c r="H118" s="21" t="str">
        <f t="shared" si="22"/>
        <v/>
      </c>
      <c r="I118" s="21" t="str">
        <f t="shared" si="23"/>
        <v/>
      </c>
      <c r="J118" s="5"/>
      <c r="K118" s="29"/>
      <c r="M118" s="15">
        <f t="shared" si="27"/>
        <v>-212.58172331953335</v>
      </c>
      <c r="N118" s="15">
        <f t="shared" si="28"/>
        <v>212.58172331953335</v>
      </c>
      <c r="P118" s="9">
        <v>94</v>
      </c>
      <c r="Q118" s="20">
        <f t="shared" si="30"/>
        <v>0</v>
      </c>
      <c r="R118" s="20">
        <f t="shared" si="29"/>
        <v>0</v>
      </c>
      <c r="S118" s="5">
        <f t="shared" si="24"/>
        <v>0</v>
      </c>
      <c r="T118">
        <f>SUM($S$26:S119)</f>
        <v>0</v>
      </c>
    </row>
    <row r="119" spans="1:20" x14ac:dyDescent="0.2">
      <c r="A119" s="6"/>
      <c r="B119" s="7"/>
      <c r="C119" s="9" t="str">
        <f t="shared" si="31"/>
        <v/>
      </c>
      <c r="E119" s="25" t="str">
        <f t="shared" si="20"/>
        <v/>
      </c>
      <c r="F119" s="21" t="str">
        <f t="shared" si="26"/>
        <v/>
      </c>
      <c r="G119" s="21" t="str">
        <f t="shared" si="21"/>
        <v/>
      </c>
      <c r="H119" s="21" t="str">
        <f t="shared" si="22"/>
        <v/>
      </c>
      <c r="I119" s="21" t="str">
        <f t="shared" si="23"/>
        <v/>
      </c>
      <c r="J119" s="11"/>
      <c r="K119" s="30"/>
      <c r="M119" s="15">
        <f t="shared" si="27"/>
        <v>-212.58172331953335</v>
      </c>
      <c r="N119" s="15">
        <f t="shared" si="28"/>
        <v>212.58172331953335</v>
      </c>
      <c r="P119" s="9">
        <v>95</v>
      </c>
      <c r="Q119" s="20">
        <f t="shared" si="30"/>
        <v>0</v>
      </c>
      <c r="R119" s="20">
        <f t="shared" si="29"/>
        <v>0</v>
      </c>
      <c r="S119" s="5">
        <f t="shared" si="24"/>
        <v>0</v>
      </c>
      <c r="T119">
        <f>SUM($S$26:S120)</f>
        <v>0</v>
      </c>
    </row>
    <row r="120" spans="1:20" x14ac:dyDescent="0.2">
      <c r="A120" s="6"/>
      <c r="B120" s="7"/>
      <c r="C120" s="9" t="str">
        <f t="shared" si="31"/>
        <v/>
      </c>
      <c r="E120" s="25" t="str">
        <f t="shared" si="20"/>
        <v/>
      </c>
      <c r="F120" s="21" t="str">
        <f t="shared" si="26"/>
        <v/>
      </c>
      <c r="G120" s="21" t="str">
        <f t="shared" si="21"/>
        <v/>
      </c>
      <c r="H120" s="21" t="str">
        <f t="shared" si="22"/>
        <v/>
      </c>
      <c r="I120" s="21" t="str">
        <f t="shared" si="23"/>
        <v/>
      </c>
      <c r="J120" s="11"/>
      <c r="K120" s="30"/>
      <c r="M120" s="15">
        <f t="shared" si="27"/>
        <v>-212.58172331953335</v>
      </c>
      <c r="N120" s="15">
        <f t="shared" si="28"/>
        <v>212.58172331953335</v>
      </c>
      <c r="P120" s="9">
        <v>96</v>
      </c>
      <c r="Q120" s="20">
        <f t="shared" si="30"/>
        <v>0</v>
      </c>
      <c r="R120" s="20">
        <f t="shared" si="29"/>
        <v>0</v>
      </c>
      <c r="S120" s="5">
        <f t="shared" si="24"/>
        <v>0</v>
      </c>
      <c r="T120">
        <f>SUM($S$26:S121)</f>
        <v>0</v>
      </c>
    </row>
    <row r="121" spans="1:20" x14ac:dyDescent="0.2">
      <c r="D121" s="21"/>
      <c r="J121" s="11"/>
      <c r="K121" s="30"/>
      <c r="N121" s="11"/>
      <c r="O121" s="11"/>
    </row>
    <row r="122" spans="1:20" x14ac:dyDescent="0.2">
      <c r="D122" s="21"/>
      <c r="E122" s="21"/>
      <c r="G122" s="21"/>
      <c r="J122" s="11"/>
      <c r="K122" s="30"/>
      <c r="N122" s="11"/>
      <c r="O122" s="11"/>
    </row>
    <row r="123" spans="1:20" x14ac:dyDescent="0.2">
      <c r="D123" s="21"/>
      <c r="E123" s="21"/>
      <c r="G123" s="21"/>
      <c r="J123" s="11"/>
      <c r="K123" s="30"/>
      <c r="N123" s="11"/>
      <c r="O123" s="11"/>
    </row>
    <row r="124" spans="1:20" x14ac:dyDescent="0.2">
      <c r="D124" s="21"/>
      <c r="E124" s="21"/>
      <c r="G124" s="21"/>
      <c r="J124" s="11"/>
      <c r="K124" s="30"/>
      <c r="N124" s="11"/>
      <c r="O124" s="11"/>
    </row>
    <row r="125" spans="1:20" x14ac:dyDescent="0.2">
      <c r="D125" s="21"/>
      <c r="E125" s="21"/>
      <c r="G125" s="21"/>
      <c r="J125" s="11"/>
      <c r="K125" s="30"/>
      <c r="N125" s="11"/>
      <c r="O125" s="11"/>
    </row>
    <row r="126" spans="1:20" x14ac:dyDescent="0.2">
      <c r="D126" s="21"/>
      <c r="E126" s="21"/>
      <c r="G126" s="21"/>
      <c r="J126" s="11"/>
      <c r="K126" s="30"/>
      <c r="N126" s="11"/>
      <c r="O126" s="11"/>
    </row>
    <row r="127" spans="1:20" x14ac:dyDescent="0.2">
      <c r="D127" s="21"/>
      <c r="E127" s="21"/>
      <c r="G127" s="21"/>
      <c r="J127" s="11"/>
      <c r="K127" s="30"/>
      <c r="N127" s="11"/>
      <c r="O127" s="11"/>
    </row>
    <row r="128" spans="1:20" x14ac:dyDescent="0.2">
      <c r="D128" s="21"/>
      <c r="E128" s="21"/>
      <c r="G128" s="21"/>
      <c r="J128" s="11"/>
      <c r="K128" s="30"/>
      <c r="N128" s="11"/>
      <c r="O128" s="11"/>
    </row>
    <row r="129" spans="4:15" x14ac:dyDescent="0.2">
      <c r="D129" s="21"/>
      <c r="E129" s="21"/>
      <c r="G129" s="21"/>
      <c r="J129" s="11"/>
      <c r="K129" s="30"/>
      <c r="N129" s="11"/>
      <c r="O129" s="11"/>
    </row>
    <row r="130" spans="4:15" x14ac:dyDescent="0.2">
      <c r="D130" s="21"/>
      <c r="E130" s="21"/>
      <c r="G130" s="21"/>
      <c r="J130" s="11"/>
      <c r="K130" s="30"/>
      <c r="N130" s="11"/>
      <c r="O130" s="11"/>
    </row>
    <row r="131" spans="4:15" x14ac:dyDescent="0.2">
      <c r="D131" s="21"/>
      <c r="E131" s="21"/>
      <c r="G131" s="21"/>
      <c r="J131" s="11"/>
      <c r="K131" s="30"/>
      <c r="N131" s="11"/>
      <c r="O131" s="11"/>
    </row>
    <row r="132" spans="4:15" x14ac:dyDescent="0.2">
      <c r="D132" s="21"/>
      <c r="E132" s="21"/>
      <c r="G132" s="21"/>
      <c r="J132" s="11"/>
      <c r="K132" s="30"/>
      <c r="N132" s="11"/>
      <c r="O132" s="11"/>
    </row>
    <row r="133" spans="4:15" x14ac:dyDescent="0.2">
      <c r="D133" s="21"/>
      <c r="E133" s="21"/>
      <c r="F133" s="21"/>
      <c r="J133" s="11"/>
      <c r="K133" s="30"/>
      <c r="N133" s="11"/>
      <c r="O133" s="11"/>
    </row>
    <row r="134" spans="4:15" x14ac:dyDescent="0.2">
      <c r="D134" s="21"/>
      <c r="E134" s="21"/>
      <c r="F134" s="21"/>
      <c r="J134" s="11"/>
      <c r="K134" s="30"/>
      <c r="N134" s="11"/>
      <c r="O134" s="11"/>
    </row>
    <row r="135" spans="4:15" x14ac:dyDescent="0.2">
      <c r="D135" s="21"/>
      <c r="E135" s="21"/>
      <c r="F135" s="21"/>
      <c r="J135" s="11"/>
      <c r="K135" s="30"/>
      <c r="N135" s="11"/>
      <c r="O135" s="11"/>
    </row>
    <row r="136" spans="4:15" x14ac:dyDescent="0.2">
      <c r="D136" s="21"/>
      <c r="E136" s="21"/>
      <c r="F136" s="21"/>
      <c r="J136" s="3"/>
      <c r="K136" s="31"/>
      <c r="N136" s="11"/>
      <c r="O136" s="11"/>
    </row>
    <row r="137" spans="4:15" x14ac:dyDescent="0.2">
      <c r="D137" s="21"/>
      <c r="E137" s="21"/>
      <c r="F137" s="21"/>
      <c r="J137" s="3"/>
      <c r="K137" s="31"/>
      <c r="N137" s="3"/>
      <c r="O137" s="3"/>
    </row>
    <row r="138" spans="4:15" x14ac:dyDescent="0.2">
      <c r="D138" s="21"/>
      <c r="E138" s="21"/>
      <c r="F138" s="21"/>
      <c r="J138" s="3"/>
      <c r="K138" s="31"/>
      <c r="N138" s="3"/>
      <c r="O138" s="3"/>
    </row>
    <row r="139" spans="4:15" x14ac:dyDescent="0.2">
      <c r="D139" s="21"/>
      <c r="E139" s="21"/>
      <c r="F139" s="21"/>
      <c r="J139" s="3"/>
      <c r="K139" s="31"/>
      <c r="N139" s="3"/>
      <c r="O139" s="3"/>
    </row>
    <row r="140" spans="4:15" x14ac:dyDescent="0.2">
      <c r="D140" s="21"/>
      <c r="E140" s="21"/>
      <c r="F140" s="21"/>
      <c r="J140" s="3"/>
      <c r="K140" s="31"/>
      <c r="N140" s="3"/>
      <c r="O140" s="3"/>
    </row>
    <row r="141" spans="4:15" x14ac:dyDescent="0.2">
      <c r="D141" s="21"/>
      <c r="E141" s="21"/>
      <c r="F141" s="21"/>
      <c r="J141" s="3"/>
      <c r="K141" s="31"/>
      <c r="N141" s="3"/>
      <c r="O141" s="3"/>
    </row>
    <row r="142" spans="4:15" x14ac:dyDescent="0.2">
      <c r="D142" s="21"/>
      <c r="E142" s="21"/>
      <c r="F142" s="21"/>
      <c r="J142" s="3"/>
      <c r="K142" s="31"/>
      <c r="N142" s="3"/>
      <c r="O142" s="3"/>
    </row>
    <row r="143" spans="4:15" x14ac:dyDescent="0.2">
      <c r="D143" s="21"/>
      <c r="E143" s="21"/>
      <c r="F143" s="21"/>
      <c r="J143" s="3"/>
      <c r="K143" s="31"/>
      <c r="N143" s="3"/>
      <c r="O143" s="3"/>
    </row>
    <row r="144" spans="4:15" x14ac:dyDescent="0.2">
      <c r="D144" s="21"/>
      <c r="E144" s="21"/>
      <c r="F144" s="21"/>
      <c r="J144" s="3"/>
      <c r="K144" s="31"/>
      <c r="N144" s="3"/>
      <c r="O144" s="3"/>
    </row>
    <row r="145" spans="4:15" x14ac:dyDescent="0.2">
      <c r="D145" s="21"/>
      <c r="E145" s="21"/>
      <c r="F145" s="21"/>
      <c r="J145" s="3"/>
      <c r="K145" s="31"/>
      <c r="N145" s="3"/>
      <c r="O145" s="3"/>
    </row>
    <row r="146" spans="4:15" x14ac:dyDescent="0.2">
      <c r="D146" s="21"/>
      <c r="E146" s="21"/>
      <c r="F146" s="21"/>
      <c r="J146" s="3"/>
      <c r="K146" s="31"/>
      <c r="N146" s="3"/>
      <c r="O146" s="3"/>
    </row>
    <row r="147" spans="4:15" x14ac:dyDescent="0.2">
      <c r="D147" s="21"/>
      <c r="E147" s="21"/>
      <c r="F147" s="21"/>
      <c r="J147" s="3"/>
      <c r="K147" s="31"/>
      <c r="N147" s="3"/>
      <c r="O147" s="3"/>
    </row>
    <row r="148" spans="4:15" x14ac:dyDescent="0.2">
      <c r="D148" s="21"/>
      <c r="E148" s="21"/>
      <c r="F148" s="21"/>
      <c r="J148" s="3"/>
      <c r="K148" s="31"/>
      <c r="N148" s="3"/>
      <c r="O148" s="3"/>
    </row>
    <row r="149" spans="4:15" x14ac:dyDescent="0.2">
      <c r="D149" s="21"/>
      <c r="E149" s="21"/>
      <c r="F149" s="21"/>
      <c r="J149" s="3"/>
      <c r="K149" s="31"/>
      <c r="N149" s="3"/>
      <c r="O149" s="3"/>
    </row>
    <row r="150" spans="4:15" x14ac:dyDescent="0.2">
      <c r="D150" s="21"/>
      <c r="E150" s="21"/>
      <c r="F150" s="21"/>
      <c r="J150" s="3"/>
      <c r="K150" s="31"/>
      <c r="N150" s="3"/>
      <c r="O150" s="3"/>
    </row>
    <row r="151" spans="4:15" x14ac:dyDescent="0.2">
      <c r="D151" s="21"/>
      <c r="E151" s="21"/>
      <c r="F151" s="21"/>
      <c r="J151" s="3"/>
      <c r="K151" s="31"/>
      <c r="N151" s="3"/>
      <c r="O151" s="3"/>
    </row>
    <row r="152" spans="4:15" x14ac:dyDescent="0.2">
      <c r="D152" s="21"/>
      <c r="E152" s="21"/>
      <c r="F152" s="21"/>
      <c r="H152" s="3"/>
      <c r="I152" s="3"/>
      <c r="J152" s="3"/>
      <c r="K152" s="31"/>
      <c r="N152" s="3"/>
      <c r="O152" s="3"/>
    </row>
    <row r="153" spans="4:15" x14ac:dyDescent="0.2">
      <c r="D153" s="21"/>
      <c r="E153" s="21"/>
      <c r="F153" s="21"/>
      <c r="H153" s="3"/>
      <c r="I153" s="3"/>
      <c r="J153" s="3"/>
      <c r="K153" s="31"/>
      <c r="M153" s="3"/>
      <c r="N153" s="3"/>
      <c r="O153" s="3"/>
    </row>
    <row r="154" spans="4:15" x14ac:dyDescent="0.2">
      <c r="D154" s="21"/>
      <c r="E154" s="21"/>
      <c r="F154" s="21"/>
      <c r="H154" s="3"/>
      <c r="I154" s="3"/>
      <c r="J154" s="3"/>
      <c r="K154" s="31"/>
      <c r="M154" s="3"/>
      <c r="N154" s="3"/>
      <c r="O154" s="3"/>
    </row>
    <row r="155" spans="4:15" x14ac:dyDescent="0.2">
      <c r="D155" s="21"/>
      <c r="E155" s="21"/>
      <c r="F155" s="21"/>
    </row>
    <row r="156" spans="4:15" x14ac:dyDescent="0.2">
      <c r="D156" s="21"/>
      <c r="E156" s="21"/>
      <c r="F156" s="21"/>
    </row>
    <row r="157" spans="4:15" x14ac:dyDescent="0.2">
      <c r="D157" s="21"/>
      <c r="E157" s="21"/>
      <c r="F157" s="21"/>
    </row>
    <row r="158" spans="4:15" x14ac:dyDescent="0.2">
      <c r="D158" s="21"/>
      <c r="E158" s="21"/>
      <c r="F158" s="21"/>
    </row>
    <row r="159" spans="4:15" x14ac:dyDescent="0.2">
      <c r="D159" s="21"/>
      <c r="E159" s="21"/>
      <c r="F159" s="21"/>
    </row>
    <row r="160" spans="4:15" x14ac:dyDescent="0.2">
      <c r="D160" s="21"/>
      <c r="E160" s="21"/>
      <c r="F160" s="21"/>
    </row>
    <row r="161" spans="4:6" x14ac:dyDescent="0.2">
      <c r="D161" s="21"/>
      <c r="E161" s="21"/>
      <c r="F161" s="21"/>
    </row>
    <row r="162" spans="4:6" x14ac:dyDescent="0.2">
      <c r="D162" s="21"/>
      <c r="E162" s="21"/>
      <c r="F162" s="21"/>
    </row>
    <row r="163" spans="4:6" x14ac:dyDescent="0.2">
      <c r="D163" s="21"/>
      <c r="E163" s="21"/>
      <c r="F163" s="21"/>
    </row>
    <row r="164" spans="4:6" x14ac:dyDescent="0.2">
      <c r="D164" s="21"/>
      <c r="E164" s="21"/>
      <c r="F164" s="21"/>
    </row>
    <row r="165" spans="4:6" x14ac:dyDescent="0.2">
      <c r="D165" s="21"/>
      <c r="E165" s="21"/>
      <c r="F165" s="21"/>
    </row>
    <row r="166" spans="4:6" x14ac:dyDescent="0.2">
      <c r="D166" s="21"/>
      <c r="E166" s="21"/>
      <c r="F166" s="21"/>
    </row>
    <row r="167" spans="4:6" x14ac:dyDescent="0.2">
      <c r="D167" s="21"/>
      <c r="E167" s="21"/>
      <c r="F167" s="21"/>
    </row>
    <row r="168" spans="4:6" x14ac:dyDescent="0.2">
      <c r="D168" s="21"/>
      <c r="E168" s="21"/>
      <c r="F168" s="21"/>
    </row>
    <row r="169" spans="4:6" x14ac:dyDescent="0.2">
      <c r="D169" s="21"/>
      <c r="E169" s="21"/>
      <c r="F169" s="21"/>
    </row>
    <row r="170" spans="4:6" x14ac:dyDescent="0.2">
      <c r="D170" s="21"/>
      <c r="E170" s="21"/>
      <c r="F170" s="21"/>
    </row>
    <row r="171" spans="4:6" x14ac:dyDescent="0.2">
      <c r="D171" s="21"/>
      <c r="E171" s="21"/>
      <c r="F171" s="21"/>
    </row>
    <row r="172" spans="4:6" x14ac:dyDescent="0.2">
      <c r="D172" s="21"/>
      <c r="E172" s="21"/>
      <c r="F172" s="21"/>
    </row>
    <row r="173" spans="4:6" x14ac:dyDescent="0.2">
      <c r="D173" s="21"/>
      <c r="E173" s="21"/>
      <c r="F173" s="21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</sheetData>
  <mergeCells count="2">
    <mergeCell ref="D22:E22"/>
    <mergeCell ref="M23:N23"/>
  </mergeCells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0210-6AB6-41B3-BFAD-4626B712B08D}">
  <sheetPr>
    <pageSetUpPr fitToPage="1"/>
  </sheetPr>
  <dimension ref="A1:W644"/>
  <sheetViews>
    <sheetView zoomScaleNormal="100" workbookViewId="0">
      <selection activeCell="N5" sqref="N5"/>
    </sheetView>
  </sheetViews>
  <sheetFormatPr baseColWidth="10" defaultRowHeight="12.75" x14ac:dyDescent="0.2"/>
  <cols>
    <col min="1" max="1" width="10" customWidth="1"/>
    <col min="2" max="3" width="13.42578125" customWidth="1"/>
    <col min="4" max="4" width="12.7109375" customWidth="1"/>
    <col min="5" max="5" width="14.7109375" customWidth="1"/>
    <col min="6" max="6" width="13.42578125" customWidth="1"/>
    <col min="7" max="7" width="15.7109375" customWidth="1"/>
    <col min="8" max="8" width="12.85546875" customWidth="1"/>
    <col min="9" max="9" width="13.42578125" customWidth="1"/>
    <col min="10" max="10" width="6.28515625" customWidth="1"/>
    <col min="11" max="11" width="1.42578125" style="27" customWidth="1"/>
    <col min="12" max="12" width="5.5703125" customWidth="1"/>
    <col min="13" max="13" width="19" customWidth="1"/>
    <col min="14" max="14" width="12.7109375" customWidth="1"/>
    <col min="15" max="15" width="15" customWidth="1"/>
    <col min="16" max="16" width="14.28515625" customWidth="1"/>
    <col min="17" max="18" width="12.7109375" customWidth="1"/>
    <col min="19" max="19" width="15.140625" customWidth="1"/>
    <col min="20" max="20" width="15.7109375" customWidth="1"/>
    <col min="21" max="21" width="14.140625" customWidth="1"/>
    <col min="22" max="22" width="15.42578125" customWidth="1"/>
    <col min="23" max="256" width="9.140625" customWidth="1"/>
  </cols>
  <sheetData>
    <row r="1" spans="1:21" x14ac:dyDescent="0.2">
      <c r="A1" s="1" t="s">
        <v>79</v>
      </c>
      <c r="D1" s="1" t="s">
        <v>46</v>
      </c>
      <c r="G1" s="13" t="s">
        <v>7</v>
      </c>
      <c r="H1" s="5"/>
      <c r="I1" s="5"/>
      <c r="M1" t="s">
        <v>49</v>
      </c>
    </row>
    <row r="2" spans="1:21" ht="13.5" thickBot="1" x14ac:dyDescent="0.25">
      <c r="A2" s="5" t="s">
        <v>39</v>
      </c>
      <c r="G2" s="13" t="s">
        <v>23</v>
      </c>
      <c r="H2" s="5"/>
      <c r="I2" s="14">
        <f>IF(C15=0,0,SQRT(I6))</f>
        <v>70.693180079332649</v>
      </c>
    </row>
    <row r="3" spans="1:21" ht="15.75" x14ac:dyDescent="0.3">
      <c r="A3" s="5" t="s">
        <v>47</v>
      </c>
      <c r="G3" s="13" t="s">
        <v>8</v>
      </c>
      <c r="H3" s="5"/>
      <c r="I3" s="14">
        <f>3*I2</f>
        <v>212.07954023799795</v>
      </c>
      <c r="M3" s="36" t="s">
        <v>50</v>
      </c>
      <c r="N3" s="36"/>
    </row>
    <row r="4" spans="1:21" x14ac:dyDescent="0.2">
      <c r="A4" s="5" t="s">
        <v>6</v>
      </c>
      <c r="G4" s="1"/>
      <c r="H4" s="5"/>
      <c r="I4" s="14"/>
      <c r="M4" t="s">
        <v>51</v>
      </c>
      <c r="N4">
        <v>0.92148460949484878</v>
      </c>
    </row>
    <row r="5" spans="1:21" x14ac:dyDescent="0.2">
      <c r="A5" s="33" t="s">
        <v>89</v>
      </c>
      <c r="G5" s="13" t="s">
        <v>24</v>
      </c>
      <c r="H5" s="5"/>
      <c r="I5" s="14">
        <f>VLOOKUP($C$10,$P$25:$R$120,3)</f>
        <v>19990.10283891582</v>
      </c>
      <c r="M5" t="s">
        <v>52</v>
      </c>
      <c r="N5">
        <v>0.84913388553587399</v>
      </c>
    </row>
    <row r="6" spans="1:21" x14ac:dyDescent="0.2">
      <c r="A6" s="5" t="s">
        <v>35</v>
      </c>
      <c r="G6" s="13" t="s">
        <v>18</v>
      </c>
      <c r="H6" s="5"/>
      <c r="I6" s="19">
        <f>I5/$C$10</f>
        <v>4997.525709728955</v>
      </c>
      <c r="M6" t="s">
        <v>53</v>
      </c>
      <c r="N6">
        <v>0.77370082830381093</v>
      </c>
    </row>
    <row r="7" spans="1:21" x14ac:dyDescent="0.2">
      <c r="A7" s="5" t="s">
        <v>36</v>
      </c>
      <c r="D7" s="5"/>
      <c r="E7" s="2"/>
      <c r="G7" s="13" t="s">
        <v>25</v>
      </c>
      <c r="H7" s="5"/>
      <c r="I7" s="14">
        <f>VLOOKUP($C$15,$P$25:$R$120,3)</f>
        <v>19990.10283891582</v>
      </c>
      <c r="M7" t="s">
        <v>54</v>
      </c>
      <c r="N7">
        <v>1.9518869007805917E-2</v>
      </c>
    </row>
    <row r="8" spans="1:21" ht="13.5" thickBot="1" x14ac:dyDescent="0.25">
      <c r="G8" s="13" t="s">
        <v>26</v>
      </c>
      <c r="H8" s="5"/>
      <c r="I8" s="14">
        <f>I7-I5</f>
        <v>0</v>
      </c>
      <c r="M8" s="34" t="s">
        <v>55</v>
      </c>
      <c r="N8" s="34">
        <v>4</v>
      </c>
    </row>
    <row r="9" spans="1:21" x14ac:dyDescent="0.2">
      <c r="A9" s="13" t="s">
        <v>14</v>
      </c>
      <c r="B9" s="5"/>
      <c r="C9" s="5"/>
      <c r="G9" s="13" t="s">
        <v>27</v>
      </c>
      <c r="H9" s="5"/>
      <c r="I9" s="5">
        <f>$C$15-$C$10</f>
        <v>0</v>
      </c>
    </row>
    <row r="10" spans="1:21" ht="13.5" thickBot="1" x14ac:dyDescent="0.25">
      <c r="A10" s="13" t="s">
        <v>22</v>
      </c>
      <c r="B10" s="5"/>
      <c r="C10" s="6">
        <v>4</v>
      </c>
      <c r="G10" s="13" t="s">
        <v>19</v>
      </c>
      <c r="H10" s="5"/>
      <c r="I10" s="14">
        <f>IF(I9=0,0,+I8/I9)</f>
        <v>0</v>
      </c>
      <c r="M10" t="s">
        <v>56</v>
      </c>
    </row>
    <row r="11" spans="1:21" x14ac:dyDescent="0.2">
      <c r="A11" s="13" t="s">
        <v>15</v>
      </c>
      <c r="B11" s="5"/>
      <c r="C11" s="6">
        <v>2046</v>
      </c>
      <c r="D11" s="17"/>
      <c r="G11" s="1"/>
      <c r="H11" s="5"/>
      <c r="I11" s="14"/>
      <c r="M11" s="35"/>
      <c r="N11" s="35" t="s">
        <v>60</v>
      </c>
      <c r="O11" s="35" t="s">
        <v>61</v>
      </c>
      <c r="P11" s="35" t="s">
        <v>62</v>
      </c>
      <c r="Q11" s="35" t="s">
        <v>1</v>
      </c>
      <c r="R11" s="35" t="s">
        <v>63</v>
      </c>
    </row>
    <row r="12" spans="1:21" x14ac:dyDescent="0.2">
      <c r="D12" s="8"/>
      <c r="G12" s="13" t="s">
        <v>28</v>
      </c>
      <c r="H12" s="5"/>
      <c r="I12" s="14">
        <f>VLOOKUP($C$10,$P$25:$R$120,2)</f>
        <v>243.15371742184016</v>
      </c>
      <c r="M12" t="s">
        <v>57</v>
      </c>
      <c r="N12">
        <v>1</v>
      </c>
      <c r="O12">
        <v>4.2886811752518711E-3</v>
      </c>
      <c r="P12">
        <v>4.2886811752518711E-3</v>
      </c>
      <c r="Q12">
        <v>11.256787364770194</v>
      </c>
      <c r="R12">
        <v>7.8515390505151217E-2</v>
      </c>
    </row>
    <row r="13" spans="1:21" x14ac:dyDescent="0.2">
      <c r="G13" s="13" t="s">
        <v>20</v>
      </c>
      <c r="H13" s="5"/>
      <c r="I13" s="19">
        <f>I12/$C$10</f>
        <v>60.788429355460039</v>
      </c>
      <c r="M13" t="s">
        <v>58</v>
      </c>
      <c r="N13">
        <v>2</v>
      </c>
      <c r="O13">
        <v>7.619724946877726E-4</v>
      </c>
      <c r="P13">
        <v>3.809862473438863E-4</v>
      </c>
    </row>
    <row r="14" spans="1:21" ht="13.5" thickBot="1" x14ac:dyDescent="0.25">
      <c r="A14" s="13" t="s">
        <v>16</v>
      </c>
      <c r="B14" s="5"/>
      <c r="G14" s="13" t="s">
        <v>29</v>
      </c>
      <c r="H14" s="5"/>
      <c r="I14" s="14">
        <f>VLOOKUP($C$15,$P$25:$R$120,2)</f>
        <v>243.15371742184016</v>
      </c>
      <c r="M14" s="34" t="s">
        <v>0</v>
      </c>
      <c r="N14" s="34">
        <v>3</v>
      </c>
      <c r="O14" s="34">
        <v>5.0506536699396441E-3</v>
      </c>
      <c r="P14" s="34"/>
      <c r="Q14" s="34"/>
      <c r="R14" s="34"/>
    </row>
    <row r="15" spans="1:21" ht="13.5" thickBot="1" x14ac:dyDescent="0.25">
      <c r="A15" s="13" t="s">
        <v>9</v>
      </c>
      <c r="B15" s="5"/>
      <c r="C15" s="8">
        <f>COUNT(B25:B120)</f>
        <v>4</v>
      </c>
      <c r="G15" s="13" t="s">
        <v>30</v>
      </c>
      <c r="H15" s="5"/>
      <c r="I15" s="14">
        <f>I14-I12</f>
        <v>0</v>
      </c>
    </row>
    <row r="16" spans="1:21" x14ac:dyDescent="0.2">
      <c r="A16" s="13" t="s">
        <v>17</v>
      </c>
      <c r="B16" s="5"/>
      <c r="C16" s="8">
        <f>VLOOKUP(C15,P25:T120,5)</f>
        <v>0</v>
      </c>
      <c r="G16" s="13" t="s">
        <v>27</v>
      </c>
      <c r="H16" s="5"/>
      <c r="I16" s="5">
        <f>$C$15-$C$10</f>
        <v>0</v>
      </c>
      <c r="M16" s="35"/>
      <c r="N16" s="35" t="s">
        <v>64</v>
      </c>
      <c r="O16" s="35" t="s">
        <v>54</v>
      </c>
      <c r="P16" s="35" t="s">
        <v>65</v>
      </c>
      <c r="Q16" s="35" t="s">
        <v>66</v>
      </c>
      <c r="R16" s="35" t="s">
        <v>67</v>
      </c>
      <c r="S16" s="35" t="s">
        <v>68</v>
      </c>
      <c r="T16" s="35" t="s">
        <v>69</v>
      </c>
      <c r="U16" s="35" t="s">
        <v>70</v>
      </c>
    </row>
    <row r="17" spans="1:23" x14ac:dyDescent="0.2">
      <c r="A17" s="13" t="s">
        <v>18</v>
      </c>
      <c r="B17" s="5"/>
      <c r="C17" s="18">
        <f>IF(C10=0,0,+I6)</f>
        <v>4997.525709728955</v>
      </c>
      <c r="G17" s="13" t="s">
        <v>21</v>
      </c>
      <c r="H17" s="5"/>
      <c r="I17" s="14">
        <f>IF(I16=0,0,+I15/I16)</f>
        <v>0</v>
      </c>
      <c r="M17" t="s">
        <v>59</v>
      </c>
      <c r="N17">
        <v>0.85146059155888043</v>
      </c>
      <c r="O17">
        <v>2.2947466737984898</v>
      </c>
      <c r="P17">
        <v>0.37104775062140488</v>
      </c>
      <c r="Q17">
        <v>0.74621916707081826</v>
      </c>
      <c r="R17">
        <v>-9.0220374485436956</v>
      </c>
      <c r="S17">
        <v>10.724958631661455</v>
      </c>
      <c r="T17">
        <v>-9.0220374485436956</v>
      </c>
      <c r="U17">
        <v>10.724958631661455</v>
      </c>
    </row>
    <row r="18" spans="1:23" ht="13.5" thickBot="1" x14ac:dyDescent="0.25">
      <c r="A18" s="13" t="s">
        <v>19</v>
      </c>
      <c r="B18" s="5"/>
      <c r="C18" s="18">
        <f>IF(C15=0,0,+I10)</f>
        <v>0</v>
      </c>
      <c r="G18" s="13" t="s">
        <v>31</v>
      </c>
      <c r="H18" s="5"/>
      <c r="I18" s="5">
        <f>C11</f>
        <v>2046</v>
      </c>
      <c r="M18" s="34" t="s">
        <v>71</v>
      </c>
      <c r="N18" s="34">
        <v>3.8389759047731862E-3</v>
      </c>
      <c r="O18" s="34">
        <v>1.1442163652600056E-3</v>
      </c>
      <c r="P18" s="34">
        <v>3.3551136142864362</v>
      </c>
      <c r="Q18" s="34">
        <v>7.8515390505151217E-2</v>
      </c>
      <c r="R18" s="34">
        <v>-1.0841897626367859E-3</v>
      </c>
      <c r="S18" s="34">
        <v>8.7621415721831578E-3</v>
      </c>
      <c r="T18" s="34">
        <v>-1.0841897626367859E-3</v>
      </c>
      <c r="U18" s="34">
        <v>8.7621415721831578E-3</v>
      </c>
    </row>
    <row r="19" spans="1:23" x14ac:dyDescent="0.2">
      <c r="A19" s="13" t="s">
        <v>20</v>
      </c>
      <c r="B19" s="5"/>
      <c r="C19" s="18">
        <f>IF(C10=0,0,+I13)</f>
        <v>60.788429355460039</v>
      </c>
    </row>
    <row r="20" spans="1:23" x14ac:dyDescent="0.2">
      <c r="A20" s="13" t="s">
        <v>21</v>
      </c>
      <c r="B20" s="5"/>
      <c r="C20" s="18">
        <f>IF(C15=0,0,+I17)</f>
        <v>0</v>
      </c>
      <c r="W20" s="10"/>
    </row>
    <row r="21" spans="1:23" x14ac:dyDescent="0.2">
      <c r="F21" s="12"/>
      <c r="J21" s="16"/>
      <c r="K21" s="28"/>
      <c r="L21" s="16"/>
    </row>
    <row r="22" spans="1:23" x14ac:dyDescent="0.2">
      <c r="C22" s="42" t="s">
        <v>48</v>
      </c>
      <c r="D22" s="43"/>
      <c r="J22" s="16"/>
      <c r="K22" s="28"/>
    </row>
    <row r="23" spans="1:23" x14ac:dyDescent="0.2">
      <c r="C23" s="26" t="s">
        <v>42</v>
      </c>
      <c r="D23" s="26" t="s">
        <v>43</v>
      </c>
      <c r="G23" s="17"/>
      <c r="J23" s="5"/>
      <c r="K23" s="29"/>
      <c r="M23" s="40" t="s">
        <v>10</v>
      </c>
      <c r="N23" s="40"/>
      <c r="Q23" s="4" t="s">
        <v>38</v>
      </c>
      <c r="R23" s="4" t="s">
        <v>32</v>
      </c>
      <c r="S23" s="16" t="s">
        <v>10</v>
      </c>
      <c r="T23" s="4" t="s">
        <v>32</v>
      </c>
    </row>
    <row r="24" spans="1:23" x14ac:dyDescent="0.2">
      <c r="A24" s="4" t="s">
        <v>45</v>
      </c>
      <c r="B24" s="4" t="s">
        <v>44</v>
      </c>
      <c r="C24" s="4" t="s">
        <v>5</v>
      </c>
      <c r="D24" s="4" t="s">
        <v>40</v>
      </c>
      <c r="E24" s="4" t="s">
        <v>41</v>
      </c>
      <c r="F24" s="32" t="s">
        <v>2</v>
      </c>
      <c r="G24" s="4" t="s">
        <v>3</v>
      </c>
      <c r="H24" s="4" t="s">
        <v>4</v>
      </c>
      <c r="J24" s="5"/>
      <c r="K24" s="29"/>
      <c r="M24" s="4" t="s">
        <v>11</v>
      </c>
      <c r="N24" s="4" t="s">
        <v>12</v>
      </c>
      <c r="P24" s="4" t="s">
        <v>5</v>
      </c>
      <c r="Q24" s="4" t="s">
        <v>33</v>
      </c>
      <c r="R24" s="4" t="s">
        <v>34</v>
      </c>
      <c r="S24" s="16" t="s">
        <v>13</v>
      </c>
      <c r="T24" s="4" t="s">
        <v>37</v>
      </c>
    </row>
    <row r="25" spans="1:23" x14ac:dyDescent="0.2">
      <c r="A25" s="6">
        <v>1993</v>
      </c>
      <c r="B25" s="23">
        <v>4963</v>
      </c>
      <c r="C25" s="9">
        <f>IF(A25="","",A25)</f>
        <v>1993</v>
      </c>
      <c r="D25" s="24">
        <f>IF(A25="","",IF(B25="",NA(),LN(B25)))</f>
        <v>8.50976567558744</v>
      </c>
      <c r="E25" s="21">
        <f>IF(A25="","",$N$17+$N$18*C25)</f>
        <v>8.5025395697718409</v>
      </c>
      <c r="F25" s="21">
        <f>IF(A25="","",EXP(E25))</f>
        <v>4927.266100797372</v>
      </c>
      <c r="G25" s="21">
        <f>IF(A25="","",IF(B25="",NA(),B25-F25))</f>
        <v>35.733899202627981</v>
      </c>
      <c r="H25" s="21">
        <f t="shared" ref="H25:H88" si="0">IF(A25="","",IF(B25="",NA(),G25^2))</f>
        <v>1276.9115522235766</v>
      </c>
      <c r="J25" s="5"/>
      <c r="K25" s="29"/>
      <c r="M25" s="15">
        <f>-$I$3</f>
        <v>-212.07954023799795</v>
      </c>
      <c r="N25" s="15">
        <f>$I$3</f>
        <v>212.07954023799795</v>
      </c>
      <c r="P25" s="9">
        <v>1</v>
      </c>
      <c r="Q25" s="20">
        <f>ABS(G25)</f>
        <v>35.733899202627981</v>
      </c>
      <c r="R25" s="20">
        <f>G25^2</f>
        <v>1276.9115522235766</v>
      </c>
      <c r="S25" s="5">
        <f t="shared" ref="S25:S56" si="1">IF(C25&gt;$C$15,0,IF(ABS(G25)&gt;=$I$3,1,0))</f>
        <v>0</v>
      </c>
      <c r="T25">
        <f>SUM($S$26:S26)</f>
        <v>0</v>
      </c>
    </row>
    <row r="26" spans="1:23" x14ac:dyDescent="0.2">
      <c r="A26" s="6">
        <v>2005</v>
      </c>
      <c r="B26" s="23">
        <v>5039</v>
      </c>
      <c r="C26" s="9">
        <f t="shared" ref="C26:C89" si="2">IF(A26="","",A26)</f>
        <v>2005</v>
      </c>
      <c r="D26" s="24">
        <f t="shared" ref="D26:D89" si="3">IF(A26="","",IF(B26="",NA(),LN(B26)))</f>
        <v>8.5249629286805977</v>
      </c>
      <c r="E26" s="21">
        <f t="shared" ref="E26:E89" si="4">IF(A26="","",$N$17+$N$18*C26)</f>
        <v>8.5486072806291187</v>
      </c>
      <c r="F26" s="21">
        <f t="shared" ref="F26:F89" si="5">IF(A26="","",EXP(E26))</f>
        <v>5159.5635967673961</v>
      </c>
      <c r="G26" s="21">
        <f t="shared" ref="G26:G89" si="6">IF(A26="","",IF(B26="",NA(),B26-F26))</f>
        <v>-120.56359676739612</v>
      </c>
      <c r="H26" s="21">
        <f t="shared" si="0"/>
        <v>14535.580865491289</v>
      </c>
      <c r="J26" s="5"/>
      <c r="K26" s="29"/>
      <c r="M26" s="15">
        <f t="shared" ref="M26:M89" si="7">-$I$3</f>
        <v>-212.07954023799795</v>
      </c>
      <c r="N26" s="15">
        <f t="shared" ref="N26:N89" si="8">$I$3</f>
        <v>212.07954023799795</v>
      </c>
      <c r="P26" s="9">
        <v>2</v>
      </c>
      <c r="Q26" s="20">
        <f>IF(B26="",0,+Q25+ABS(G26))</f>
        <v>156.2974959700241</v>
      </c>
      <c r="R26" s="20">
        <f>IF(B26="",0,+R25+G26^2)</f>
        <v>15812.492417714866</v>
      </c>
      <c r="S26" s="5">
        <f t="shared" si="1"/>
        <v>0</v>
      </c>
      <c r="T26">
        <f>SUM($S$26:S27)</f>
        <v>0</v>
      </c>
    </row>
    <row r="27" spans="1:23" x14ac:dyDescent="0.2">
      <c r="A27" s="6">
        <v>2007</v>
      </c>
      <c r="B27" s="23">
        <v>5257</v>
      </c>
      <c r="C27" s="9">
        <f t="shared" si="2"/>
        <v>2007</v>
      </c>
      <c r="D27" s="24">
        <f t="shared" si="3"/>
        <v>8.5673158008194488</v>
      </c>
      <c r="E27" s="21">
        <f t="shared" si="4"/>
        <v>8.5562852324386647</v>
      </c>
      <c r="F27" s="21">
        <f t="shared" si="5"/>
        <v>5199.3309479646578</v>
      </c>
      <c r="G27" s="21">
        <f t="shared" si="6"/>
        <v>57.669052035342247</v>
      </c>
      <c r="H27" s="21">
        <f t="shared" si="0"/>
        <v>3325.7195626550119</v>
      </c>
      <c r="J27" s="5"/>
      <c r="K27" s="29"/>
      <c r="M27" s="15">
        <f t="shared" si="7"/>
        <v>-212.07954023799795</v>
      </c>
      <c r="N27" s="15">
        <f t="shared" si="8"/>
        <v>212.07954023799795</v>
      </c>
      <c r="P27" s="9">
        <v>3</v>
      </c>
      <c r="Q27" s="20">
        <f t="shared" ref="Q27:Q33" si="9">IF(B27="",0,+Q26+ABS(G27))</f>
        <v>213.96654800536635</v>
      </c>
      <c r="R27" s="20">
        <f t="shared" ref="R27:R90" si="10">IF(B27="",0,+R26+G27^2)</f>
        <v>19138.211980369877</v>
      </c>
      <c r="S27" s="5">
        <f t="shared" si="1"/>
        <v>0</v>
      </c>
      <c r="T27">
        <f>SUM($S$26:S28)</f>
        <v>0</v>
      </c>
    </row>
    <row r="28" spans="1:23" x14ac:dyDescent="0.2">
      <c r="A28" s="6">
        <v>2017</v>
      </c>
      <c r="B28" s="23">
        <v>5432</v>
      </c>
      <c r="C28" s="9">
        <f t="shared" si="2"/>
        <v>2017</v>
      </c>
      <c r="D28" s="24">
        <f t="shared" si="3"/>
        <v>8.6000626692385325</v>
      </c>
      <c r="E28" s="21">
        <f t="shared" si="4"/>
        <v>8.5946749914863965</v>
      </c>
      <c r="F28" s="21">
        <f t="shared" si="5"/>
        <v>5402.8128305835262</v>
      </c>
      <c r="G28" s="21">
        <f t="shared" si="6"/>
        <v>29.187169416473807</v>
      </c>
      <c r="H28" s="21">
        <f t="shared" si="0"/>
        <v>851.89085854594396</v>
      </c>
      <c r="J28" s="5"/>
      <c r="K28" s="29"/>
      <c r="M28" s="15">
        <f t="shared" si="7"/>
        <v>-212.07954023799795</v>
      </c>
      <c r="N28" s="15">
        <f t="shared" si="8"/>
        <v>212.07954023799795</v>
      </c>
      <c r="P28" s="9">
        <v>4</v>
      </c>
      <c r="Q28" s="20">
        <f t="shared" si="9"/>
        <v>243.15371742184016</v>
      </c>
      <c r="R28" s="20">
        <f t="shared" si="10"/>
        <v>19990.10283891582</v>
      </c>
      <c r="S28" s="5">
        <f t="shared" si="1"/>
        <v>0</v>
      </c>
      <c r="T28">
        <f>SUM($S$26:S29)</f>
        <v>0</v>
      </c>
    </row>
    <row r="29" spans="1:23" x14ac:dyDescent="0.2">
      <c r="A29" s="38">
        <v>2026</v>
      </c>
      <c r="B29" s="23"/>
      <c r="C29" s="9">
        <f t="shared" si="2"/>
        <v>2026</v>
      </c>
      <c r="D29" s="24" t="e">
        <f t="shared" si="3"/>
        <v>#N/A</v>
      </c>
      <c r="E29" s="21">
        <f t="shared" si="4"/>
        <v>8.6292257746293544</v>
      </c>
      <c r="F29" s="37">
        <f t="shared" si="5"/>
        <v>5592.746529908537</v>
      </c>
      <c r="G29" s="21" t="e">
        <f t="shared" si="6"/>
        <v>#N/A</v>
      </c>
      <c r="H29" s="21" t="e">
        <f t="shared" si="0"/>
        <v>#N/A</v>
      </c>
      <c r="J29" s="5"/>
      <c r="K29" s="29"/>
      <c r="M29" s="15">
        <f t="shared" si="7"/>
        <v>-212.07954023799795</v>
      </c>
      <c r="N29" s="15">
        <f t="shared" si="8"/>
        <v>212.07954023799795</v>
      </c>
      <c r="P29" s="9">
        <v>5</v>
      </c>
      <c r="Q29" s="20">
        <f t="shared" si="9"/>
        <v>0</v>
      </c>
      <c r="R29" s="20">
        <f t="shared" si="10"/>
        <v>0</v>
      </c>
      <c r="S29" s="5">
        <f t="shared" si="1"/>
        <v>0</v>
      </c>
      <c r="T29">
        <f>SUM($S$26:S30)</f>
        <v>0</v>
      </c>
    </row>
    <row r="30" spans="1:23" x14ac:dyDescent="0.2">
      <c r="A30" s="38">
        <v>2036</v>
      </c>
      <c r="B30" s="23"/>
      <c r="C30" s="9">
        <f t="shared" si="2"/>
        <v>2036</v>
      </c>
      <c r="D30" s="24" t="e">
        <f t="shared" si="3"/>
        <v>#N/A</v>
      </c>
      <c r="E30" s="21">
        <f t="shared" si="4"/>
        <v>8.6676155336770861</v>
      </c>
      <c r="F30" s="37">
        <f t="shared" si="5"/>
        <v>5811.6251903179946</v>
      </c>
      <c r="G30" s="21" t="e">
        <f t="shared" si="6"/>
        <v>#N/A</v>
      </c>
      <c r="H30" s="21" t="e">
        <f t="shared" si="0"/>
        <v>#N/A</v>
      </c>
      <c r="J30" s="5"/>
      <c r="K30" s="29"/>
      <c r="M30" s="15">
        <f t="shared" si="7"/>
        <v>-212.07954023799795</v>
      </c>
      <c r="N30" s="15">
        <f t="shared" si="8"/>
        <v>212.07954023799795</v>
      </c>
      <c r="P30" s="9">
        <v>6</v>
      </c>
      <c r="Q30" s="20">
        <f t="shared" si="9"/>
        <v>0</v>
      </c>
      <c r="R30" s="20">
        <f t="shared" si="10"/>
        <v>0</v>
      </c>
      <c r="S30" s="5">
        <f t="shared" si="1"/>
        <v>0</v>
      </c>
      <c r="T30">
        <f>SUM($S$26:S31)</f>
        <v>0</v>
      </c>
    </row>
    <row r="31" spans="1:23" x14ac:dyDescent="0.2">
      <c r="A31" s="38">
        <v>2046</v>
      </c>
      <c r="B31" s="23"/>
      <c r="C31" s="9">
        <f t="shared" si="2"/>
        <v>2046</v>
      </c>
      <c r="D31" s="24" t="e">
        <f t="shared" si="3"/>
        <v>#N/A</v>
      </c>
      <c r="E31" s="21">
        <f t="shared" si="4"/>
        <v>8.7060052927248197</v>
      </c>
      <c r="F31" s="37">
        <f t="shared" si="5"/>
        <v>6039.0699224645659</v>
      </c>
      <c r="G31" s="21" t="e">
        <f t="shared" si="6"/>
        <v>#N/A</v>
      </c>
      <c r="H31" s="21" t="e">
        <f t="shared" si="0"/>
        <v>#N/A</v>
      </c>
      <c r="J31" s="5"/>
      <c r="K31" s="29"/>
      <c r="M31" s="15">
        <f t="shared" si="7"/>
        <v>-212.07954023799795</v>
      </c>
      <c r="N31" s="15">
        <f t="shared" si="8"/>
        <v>212.07954023799795</v>
      </c>
      <c r="P31" s="9">
        <v>7</v>
      </c>
      <c r="Q31" s="20">
        <f t="shared" si="9"/>
        <v>0</v>
      </c>
      <c r="R31" s="20">
        <f t="shared" si="10"/>
        <v>0</v>
      </c>
      <c r="S31" s="5">
        <f t="shared" si="1"/>
        <v>0</v>
      </c>
      <c r="T31">
        <f>SUM($S$26:S32)</f>
        <v>0</v>
      </c>
    </row>
    <row r="32" spans="1:23" x14ac:dyDescent="0.2">
      <c r="A32" s="6"/>
      <c r="B32" s="23"/>
      <c r="C32" s="9" t="str">
        <f t="shared" si="2"/>
        <v/>
      </c>
      <c r="D32" s="24" t="str">
        <f t="shared" si="3"/>
        <v/>
      </c>
      <c r="E32" s="21" t="str">
        <f t="shared" si="4"/>
        <v/>
      </c>
      <c r="F32" s="21" t="str">
        <f t="shared" si="5"/>
        <v/>
      </c>
      <c r="G32" s="21" t="str">
        <f t="shared" si="6"/>
        <v/>
      </c>
      <c r="H32" s="21" t="str">
        <f t="shared" si="0"/>
        <v/>
      </c>
      <c r="J32" s="5"/>
      <c r="K32" s="29"/>
      <c r="M32" s="15">
        <f t="shared" si="7"/>
        <v>-212.07954023799795</v>
      </c>
      <c r="N32" s="15">
        <f t="shared" si="8"/>
        <v>212.07954023799795</v>
      </c>
      <c r="P32" s="9">
        <v>8</v>
      </c>
      <c r="Q32" s="20">
        <f t="shared" si="9"/>
        <v>0</v>
      </c>
      <c r="R32" s="20">
        <f t="shared" si="10"/>
        <v>0</v>
      </c>
      <c r="S32" s="5">
        <f t="shared" si="1"/>
        <v>0</v>
      </c>
      <c r="T32">
        <f>SUM($S$26:S33)</f>
        <v>0</v>
      </c>
    </row>
    <row r="33" spans="1:20" x14ac:dyDescent="0.2">
      <c r="A33" s="6"/>
      <c r="B33" s="23"/>
      <c r="C33" s="9" t="str">
        <f t="shared" si="2"/>
        <v/>
      </c>
      <c r="D33" s="24" t="str">
        <f t="shared" si="3"/>
        <v/>
      </c>
      <c r="E33" s="21" t="str">
        <f t="shared" si="4"/>
        <v/>
      </c>
      <c r="F33" s="21" t="str">
        <f t="shared" si="5"/>
        <v/>
      </c>
      <c r="G33" s="21" t="str">
        <f t="shared" si="6"/>
        <v/>
      </c>
      <c r="H33" s="21" t="str">
        <f t="shared" si="0"/>
        <v/>
      </c>
      <c r="J33" s="5"/>
      <c r="K33" s="29"/>
      <c r="M33" s="15">
        <f t="shared" si="7"/>
        <v>-212.07954023799795</v>
      </c>
      <c r="N33" s="15">
        <f t="shared" si="8"/>
        <v>212.07954023799795</v>
      </c>
      <c r="P33" s="9">
        <v>9</v>
      </c>
      <c r="Q33" s="20">
        <f t="shared" si="9"/>
        <v>0</v>
      </c>
      <c r="R33" s="20">
        <f t="shared" si="10"/>
        <v>0</v>
      </c>
      <c r="S33" s="5">
        <f t="shared" si="1"/>
        <v>0</v>
      </c>
      <c r="T33">
        <f>SUM($S$26:S34)</f>
        <v>0</v>
      </c>
    </row>
    <row r="34" spans="1:20" x14ac:dyDescent="0.2">
      <c r="A34" s="6"/>
      <c r="B34" s="23"/>
      <c r="C34" s="9" t="str">
        <f t="shared" si="2"/>
        <v/>
      </c>
      <c r="D34" s="24" t="str">
        <f t="shared" si="3"/>
        <v/>
      </c>
      <c r="E34" s="21" t="str">
        <f t="shared" si="4"/>
        <v/>
      </c>
      <c r="F34" s="21" t="str">
        <f t="shared" si="5"/>
        <v/>
      </c>
      <c r="G34" s="21" t="str">
        <f t="shared" si="6"/>
        <v/>
      </c>
      <c r="H34" s="21" t="str">
        <f t="shared" si="0"/>
        <v/>
      </c>
      <c r="J34" s="5"/>
      <c r="K34" s="29"/>
      <c r="M34" s="15">
        <f t="shared" si="7"/>
        <v>-212.07954023799795</v>
      </c>
      <c r="N34" s="15">
        <f t="shared" si="8"/>
        <v>212.07954023799795</v>
      </c>
      <c r="P34" s="9">
        <v>10</v>
      </c>
      <c r="Q34" s="20">
        <f t="shared" ref="Q34:Q65" si="11">IF(C34&gt;$C$15,0,+Q33+ABS(G34))</f>
        <v>0</v>
      </c>
      <c r="R34" s="20">
        <f t="shared" si="10"/>
        <v>0</v>
      </c>
      <c r="S34" s="5">
        <f t="shared" si="1"/>
        <v>0</v>
      </c>
      <c r="T34">
        <f>SUM($S$26:S35)</f>
        <v>0</v>
      </c>
    </row>
    <row r="35" spans="1:20" x14ac:dyDescent="0.2">
      <c r="A35" s="6"/>
      <c r="B35" s="23"/>
      <c r="C35" s="9" t="str">
        <f t="shared" si="2"/>
        <v/>
      </c>
      <c r="D35" s="24" t="str">
        <f t="shared" si="3"/>
        <v/>
      </c>
      <c r="E35" s="21" t="str">
        <f t="shared" si="4"/>
        <v/>
      </c>
      <c r="F35" s="21" t="str">
        <f t="shared" si="5"/>
        <v/>
      </c>
      <c r="G35" s="21" t="str">
        <f t="shared" si="6"/>
        <v/>
      </c>
      <c r="H35" s="21" t="str">
        <f t="shared" si="0"/>
        <v/>
      </c>
      <c r="J35" s="5"/>
      <c r="K35" s="29"/>
      <c r="M35" s="15">
        <f t="shared" si="7"/>
        <v>-212.07954023799795</v>
      </c>
      <c r="N35" s="15">
        <f t="shared" si="8"/>
        <v>212.07954023799795</v>
      </c>
      <c r="P35" s="9">
        <v>11</v>
      </c>
      <c r="Q35" s="20">
        <f t="shared" si="11"/>
        <v>0</v>
      </c>
      <c r="R35" s="20">
        <f t="shared" si="10"/>
        <v>0</v>
      </c>
      <c r="S35" s="5">
        <f t="shared" si="1"/>
        <v>0</v>
      </c>
      <c r="T35">
        <f>SUM($S$26:S36)</f>
        <v>0</v>
      </c>
    </row>
    <row r="36" spans="1:20" x14ac:dyDescent="0.2">
      <c r="A36" s="6"/>
      <c r="B36" s="23"/>
      <c r="C36" s="9" t="str">
        <f t="shared" si="2"/>
        <v/>
      </c>
      <c r="D36" s="24" t="str">
        <f t="shared" si="3"/>
        <v/>
      </c>
      <c r="E36" s="21" t="str">
        <f t="shared" si="4"/>
        <v/>
      </c>
      <c r="F36" s="21" t="str">
        <f t="shared" si="5"/>
        <v/>
      </c>
      <c r="G36" s="21" t="str">
        <f t="shared" si="6"/>
        <v/>
      </c>
      <c r="H36" s="21" t="str">
        <f t="shared" si="0"/>
        <v/>
      </c>
      <c r="J36" s="5"/>
      <c r="K36" s="29"/>
      <c r="M36" s="15">
        <f t="shared" si="7"/>
        <v>-212.07954023799795</v>
      </c>
      <c r="N36" s="15">
        <f t="shared" si="8"/>
        <v>212.07954023799795</v>
      </c>
      <c r="P36" s="9">
        <v>12</v>
      </c>
      <c r="Q36" s="20">
        <f t="shared" si="11"/>
        <v>0</v>
      </c>
      <c r="R36" s="20">
        <f t="shared" si="10"/>
        <v>0</v>
      </c>
      <c r="S36" s="5">
        <f t="shared" si="1"/>
        <v>0</v>
      </c>
      <c r="T36">
        <f>SUM($S$26:S37)</f>
        <v>0</v>
      </c>
    </row>
    <row r="37" spans="1:20" x14ac:dyDescent="0.2">
      <c r="A37" s="6"/>
      <c r="B37" s="23"/>
      <c r="C37" s="9" t="str">
        <f t="shared" si="2"/>
        <v/>
      </c>
      <c r="D37" s="24" t="str">
        <f t="shared" si="3"/>
        <v/>
      </c>
      <c r="E37" s="21" t="str">
        <f t="shared" si="4"/>
        <v/>
      </c>
      <c r="F37" s="21" t="str">
        <f t="shared" si="5"/>
        <v/>
      </c>
      <c r="G37" s="21" t="str">
        <f t="shared" si="6"/>
        <v/>
      </c>
      <c r="H37" s="21" t="str">
        <f t="shared" si="0"/>
        <v/>
      </c>
      <c r="J37" s="5"/>
      <c r="K37" s="29"/>
      <c r="M37" s="15">
        <f t="shared" si="7"/>
        <v>-212.07954023799795</v>
      </c>
      <c r="N37" s="15">
        <f t="shared" si="8"/>
        <v>212.07954023799795</v>
      </c>
      <c r="P37" s="9">
        <v>13</v>
      </c>
      <c r="Q37" s="20">
        <f t="shared" si="11"/>
        <v>0</v>
      </c>
      <c r="R37" s="20">
        <f t="shared" si="10"/>
        <v>0</v>
      </c>
      <c r="S37" s="5">
        <f t="shared" si="1"/>
        <v>0</v>
      </c>
      <c r="T37">
        <f>SUM($S$26:S38)</f>
        <v>0</v>
      </c>
    </row>
    <row r="38" spans="1:20" x14ac:dyDescent="0.2">
      <c r="A38" s="6"/>
      <c r="B38" s="23"/>
      <c r="C38" s="9" t="str">
        <f t="shared" si="2"/>
        <v/>
      </c>
      <c r="D38" s="24" t="str">
        <f t="shared" si="3"/>
        <v/>
      </c>
      <c r="E38" s="21" t="str">
        <f t="shared" si="4"/>
        <v/>
      </c>
      <c r="F38" s="21" t="str">
        <f t="shared" si="5"/>
        <v/>
      </c>
      <c r="G38" s="21" t="str">
        <f t="shared" si="6"/>
        <v/>
      </c>
      <c r="H38" s="21" t="str">
        <f t="shared" si="0"/>
        <v/>
      </c>
      <c r="J38" s="5"/>
      <c r="K38" s="29"/>
      <c r="M38" s="15">
        <f t="shared" si="7"/>
        <v>-212.07954023799795</v>
      </c>
      <c r="N38" s="15">
        <f t="shared" si="8"/>
        <v>212.07954023799795</v>
      </c>
      <c r="P38" s="9">
        <v>14</v>
      </c>
      <c r="Q38" s="20">
        <f t="shared" si="11"/>
        <v>0</v>
      </c>
      <c r="R38" s="20">
        <f t="shared" si="10"/>
        <v>0</v>
      </c>
      <c r="S38" s="5">
        <f t="shared" si="1"/>
        <v>0</v>
      </c>
      <c r="T38">
        <f>SUM($S$26:S39)</f>
        <v>0</v>
      </c>
    </row>
    <row r="39" spans="1:20" x14ac:dyDescent="0.2">
      <c r="A39" s="6"/>
      <c r="B39" s="23"/>
      <c r="C39" s="9" t="str">
        <f t="shared" si="2"/>
        <v/>
      </c>
      <c r="D39" s="24" t="str">
        <f t="shared" si="3"/>
        <v/>
      </c>
      <c r="E39" s="21" t="str">
        <f t="shared" si="4"/>
        <v/>
      </c>
      <c r="F39" s="21" t="str">
        <f t="shared" si="5"/>
        <v/>
      </c>
      <c r="G39" s="21" t="str">
        <f t="shared" si="6"/>
        <v/>
      </c>
      <c r="H39" s="21" t="str">
        <f t="shared" si="0"/>
        <v/>
      </c>
      <c r="J39" s="5"/>
      <c r="K39" s="29"/>
      <c r="M39" s="15">
        <f t="shared" si="7"/>
        <v>-212.07954023799795</v>
      </c>
      <c r="N39" s="15">
        <f t="shared" si="8"/>
        <v>212.07954023799795</v>
      </c>
      <c r="P39" s="9">
        <v>15</v>
      </c>
      <c r="Q39" s="20">
        <f t="shared" si="11"/>
        <v>0</v>
      </c>
      <c r="R39" s="20">
        <f t="shared" si="10"/>
        <v>0</v>
      </c>
      <c r="S39" s="5">
        <f t="shared" si="1"/>
        <v>0</v>
      </c>
      <c r="T39">
        <f>SUM($S$26:S40)</f>
        <v>0</v>
      </c>
    </row>
    <row r="40" spans="1:20" x14ac:dyDescent="0.2">
      <c r="A40" s="6"/>
      <c r="B40" s="23"/>
      <c r="C40" s="9" t="str">
        <f t="shared" si="2"/>
        <v/>
      </c>
      <c r="D40" s="24" t="str">
        <f t="shared" si="3"/>
        <v/>
      </c>
      <c r="E40" s="21" t="str">
        <f t="shared" si="4"/>
        <v/>
      </c>
      <c r="F40" s="21" t="str">
        <f t="shared" si="5"/>
        <v/>
      </c>
      <c r="G40" s="21" t="str">
        <f t="shared" si="6"/>
        <v/>
      </c>
      <c r="H40" s="21" t="str">
        <f t="shared" si="0"/>
        <v/>
      </c>
      <c r="J40" s="5"/>
      <c r="K40" s="29"/>
      <c r="M40" s="15">
        <f t="shared" si="7"/>
        <v>-212.07954023799795</v>
      </c>
      <c r="N40" s="15">
        <f t="shared" si="8"/>
        <v>212.07954023799795</v>
      </c>
      <c r="P40" s="9">
        <v>16</v>
      </c>
      <c r="Q40" s="20">
        <f t="shared" si="11"/>
        <v>0</v>
      </c>
      <c r="R40" s="20">
        <f t="shared" si="10"/>
        <v>0</v>
      </c>
      <c r="S40" s="5">
        <f t="shared" si="1"/>
        <v>0</v>
      </c>
      <c r="T40">
        <f>SUM($S$26:S41)</f>
        <v>0</v>
      </c>
    </row>
    <row r="41" spans="1:20" x14ac:dyDescent="0.2">
      <c r="A41" s="6"/>
      <c r="B41" s="22"/>
      <c r="C41" s="9" t="str">
        <f t="shared" si="2"/>
        <v/>
      </c>
      <c r="D41" s="24" t="str">
        <f t="shared" si="3"/>
        <v/>
      </c>
      <c r="E41" s="21" t="str">
        <f t="shared" si="4"/>
        <v/>
      </c>
      <c r="F41" s="21" t="str">
        <f t="shared" si="5"/>
        <v/>
      </c>
      <c r="G41" s="21" t="str">
        <f t="shared" si="6"/>
        <v/>
      </c>
      <c r="H41" s="21" t="str">
        <f t="shared" si="0"/>
        <v/>
      </c>
      <c r="J41" s="5"/>
      <c r="K41" s="29"/>
      <c r="M41" s="15">
        <f t="shared" si="7"/>
        <v>-212.07954023799795</v>
      </c>
      <c r="N41" s="15">
        <f t="shared" si="8"/>
        <v>212.07954023799795</v>
      </c>
      <c r="P41" s="9">
        <v>17</v>
      </c>
      <c r="Q41" s="20">
        <f t="shared" si="11"/>
        <v>0</v>
      </c>
      <c r="R41" s="20">
        <f t="shared" si="10"/>
        <v>0</v>
      </c>
      <c r="S41" s="5">
        <f t="shared" si="1"/>
        <v>0</v>
      </c>
      <c r="T41">
        <f>SUM($S$26:S42)</f>
        <v>0</v>
      </c>
    </row>
    <row r="42" spans="1:20" x14ac:dyDescent="0.2">
      <c r="A42" s="6"/>
      <c r="B42" s="22"/>
      <c r="C42" s="9" t="str">
        <f t="shared" si="2"/>
        <v/>
      </c>
      <c r="D42" s="24" t="str">
        <f t="shared" si="3"/>
        <v/>
      </c>
      <c r="E42" s="21" t="str">
        <f t="shared" si="4"/>
        <v/>
      </c>
      <c r="F42" s="21" t="str">
        <f t="shared" si="5"/>
        <v/>
      </c>
      <c r="G42" s="21" t="str">
        <f t="shared" si="6"/>
        <v/>
      </c>
      <c r="H42" s="21" t="str">
        <f t="shared" si="0"/>
        <v/>
      </c>
      <c r="J42" s="5"/>
      <c r="K42" s="29"/>
      <c r="M42" s="15">
        <f t="shared" si="7"/>
        <v>-212.07954023799795</v>
      </c>
      <c r="N42" s="15">
        <f t="shared" si="8"/>
        <v>212.07954023799795</v>
      </c>
      <c r="P42" s="9">
        <v>18</v>
      </c>
      <c r="Q42" s="20">
        <f t="shared" si="11"/>
        <v>0</v>
      </c>
      <c r="R42" s="20">
        <f t="shared" si="10"/>
        <v>0</v>
      </c>
      <c r="S42" s="5">
        <f t="shared" si="1"/>
        <v>0</v>
      </c>
      <c r="T42">
        <f>SUM($S$26:S43)</f>
        <v>0</v>
      </c>
    </row>
    <row r="43" spans="1:20" x14ac:dyDescent="0.2">
      <c r="A43" s="6"/>
      <c r="B43" s="22"/>
      <c r="C43" s="9" t="str">
        <f t="shared" si="2"/>
        <v/>
      </c>
      <c r="D43" s="24" t="str">
        <f t="shared" si="3"/>
        <v/>
      </c>
      <c r="E43" s="21" t="str">
        <f t="shared" si="4"/>
        <v/>
      </c>
      <c r="F43" s="21" t="str">
        <f t="shared" si="5"/>
        <v/>
      </c>
      <c r="G43" s="21" t="str">
        <f t="shared" si="6"/>
        <v/>
      </c>
      <c r="H43" s="21" t="str">
        <f t="shared" si="0"/>
        <v/>
      </c>
      <c r="J43" s="5"/>
      <c r="K43" s="29"/>
      <c r="M43" s="15">
        <f t="shared" si="7"/>
        <v>-212.07954023799795</v>
      </c>
      <c r="N43" s="15">
        <f t="shared" si="8"/>
        <v>212.07954023799795</v>
      </c>
      <c r="P43" s="9">
        <v>19</v>
      </c>
      <c r="Q43" s="20">
        <f t="shared" si="11"/>
        <v>0</v>
      </c>
      <c r="R43" s="20">
        <f t="shared" si="10"/>
        <v>0</v>
      </c>
      <c r="S43" s="5">
        <f t="shared" si="1"/>
        <v>0</v>
      </c>
      <c r="T43">
        <f>SUM($S$26:S44)</f>
        <v>0</v>
      </c>
    </row>
    <row r="44" spans="1:20" x14ac:dyDescent="0.2">
      <c r="A44" s="6"/>
      <c r="B44" s="22"/>
      <c r="C44" s="9" t="str">
        <f t="shared" si="2"/>
        <v/>
      </c>
      <c r="D44" s="24" t="str">
        <f t="shared" si="3"/>
        <v/>
      </c>
      <c r="E44" s="21" t="str">
        <f t="shared" si="4"/>
        <v/>
      </c>
      <c r="F44" s="21" t="str">
        <f t="shared" si="5"/>
        <v/>
      </c>
      <c r="G44" s="21" t="str">
        <f t="shared" si="6"/>
        <v/>
      </c>
      <c r="H44" s="21" t="str">
        <f t="shared" si="0"/>
        <v/>
      </c>
      <c r="J44" s="5"/>
      <c r="K44" s="29"/>
      <c r="M44" s="15">
        <f t="shared" si="7"/>
        <v>-212.07954023799795</v>
      </c>
      <c r="N44" s="15">
        <f t="shared" si="8"/>
        <v>212.07954023799795</v>
      </c>
      <c r="P44" s="9">
        <v>20</v>
      </c>
      <c r="Q44" s="20">
        <f t="shared" si="11"/>
        <v>0</v>
      </c>
      <c r="R44" s="20">
        <f t="shared" si="10"/>
        <v>0</v>
      </c>
      <c r="S44" s="5">
        <f t="shared" si="1"/>
        <v>0</v>
      </c>
      <c r="T44">
        <f>SUM($S$26:S45)</f>
        <v>0</v>
      </c>
    </row>
    <row r="45" spans="1:20" x14ac:dyDescent="0.2">
      <c r="A45" s="6"/>
      <c r="B45" s="22"/>
      <c r="C45" s="9" t="str">
        <f t="shared" si="2"/>
        <v/>
      </c>
      <c r="D45" s="24" t="str">
        <f t="shared" si="3"/>
        <v/>
      </c>
      <c r="E45" s="21" t="str">
        <f t="shared" si="4"/>
        <v/>
      </c>
      <c r="F45" s="21" t="str">
        <f t="shared" si="5"/>
        <v/>
      </c>
      <c r="G45" s="21" t="str">
        <f t="shared" si="6"/>
        <v/>
      </c>
      <c r="H45" s="21" t="str">
        <f t="shared" si="0"/>
        <v/>
      </c>
      <c r="J45" s="5"/>
      <c r="K45" s="29"/>
      <c r="M45" s="15">
        <f t="shared" si="7"/>
        <v>-212.07954023799795</v>
      </c>
      <c r="N45" s="15">
        <f t="shared" si="8"/>
        <v>212.07954023799795</v>
      </c>
      <c r="P45" s="9">
        <v>21</v>
      </c>
      <c r="Q45" s="20">
        <f t="shared" si="11"/>
        <v>0</v>
      </c>
      <c r="R45" s="20">
        <f t="shared" si="10"/>
        <v>0</v>
      </c>
      <c r="S45" s="5">
        <f t="shared" si="1"/>
        <v>0</v>
      </c>
      <c r="T45">
        <f>SUM($S$26:S46)</f>
        <v>0</v>
      </c>
    </row>
    <row r="46" spans="1:20" x14ac:dyDescent="0.2">
      <c r="A46" s="6"/>
      <c r="B46" s="7"/>
      <c r="C46" s="9" t="str">
        <f t="shared" si="2"/>
        <v/>
      </c>
      <c r="D46" s="24" t="str">
        <f t="shared" si="3"/>
        <v/>
      </c>
      <c r="E46" s="21" t="str">
        <f t="shared" si="4"/>
        <v/>
      </c>
      <c r="F46" s="21" t="str">
        <f t="shared" si="5"/>
        <v/>
      </c>
      <c r="G46" s="21" t="str">
        <f t="shared" si="6"/>
        <v/>
      </c>
      <c r="H46" s="21" t="str">
        <f t="shared" si="0"/>
        <v/>
      </c>
      <c r="J46" s="5"/>
      <c r="K46" s="29"/>
      <c r="M46" s="15">
        <f t="shared" si="7"/>
        <v>-212.07954023799795</v>
      </c>
      <c r="N46" s="15">
        <f t="shared" si="8"/>
        <v>212.07954023799795</v>
      </c>
      <c r="P46" s="9">
        <v>22</v>
      </c>
      <c r="Q46" s="20">
        <f t="shared" si="11"/>
        <v>0</v>
      </c>
      <c r="R46" s="20">
        <f t="shared" si="10"/>
        <v>0</v>
      </c>
      <c r="S46" s="5">
        <f t="shared" si="1"/>
        <v>0</v>
      </c>
      <c r="T46">
        <f>SUM($S$26:S47)</f>
        <v>0</v>
      </c>
    </row>
    <row r="47" spans="1:20" x14ac:dyDescent="0.2">
      <c r="A47" s="6"/>
      <c r="B47" s="7"/>
      <c r="C47" s="9" t="str">
        <f t="shared" si="2"/>
        <v/>
      </c>
      <c r="D47" s="24" t="str">
        <f t="shared" si="3"/>
        <v/>
      </c>
      <c r="E47" s="21" t="str">
        <f t="shared" si="4"/>
        <v/>
      </c>
      <c r="F47" s="21" t="str">
        <f t="shared" si="5"/>
        <v/>
      </c>
      <c r="G47" s="21" t="str">
        <f t="shared" si="6"/>
        <v/>
      </c>
      <c r="H47" s="21" t="str">
        <f t="shared" si="0"/>
        <v/>
      </c>
      <c r="J47" s="5"/>
      <c r="K47" s="29"/>
      <c r="M47" s="15">
        <f t="shared" si="7"/>
        <v>-212.07954023799795</v>
      </c>
      <c r="N47" s="15">
        <f t="shared" si="8"/>
        <v>212.07954023799795</v>
      </c>
      <c r="P47" s="9">
        <v>23</v>
      </c>
      <c r="Q47" s="20">
        <f t="shared" si="11"/>
        <v>0</v>
      </c>
      <c r="R47" s="20">
        <f t="shared" si="10"/>
        <v>0</v>
      </c>
      <c r="S47" s="5">
        <f t="shared" si="1"/>
        <v>0</v>
      </c>
      <c r="T47">
        <f>SUM($S$26:S48)</f>
        <v>0</v>
      </c>
    </row>
    <row r="48" spans="1:20" x14ac:dyDescent="0.2">
      <c r="A48" s="6"/>
      <c r="B48" s="7"/>
      <c r="C48" s="9" t="str">
        <f t="shared" si="2"/>
        <v/>
      </c>
      <c r="D48" s="24" t="str">
        <f t="shared" si="3"/>
        <v/>
      </c>
      <c r="E48" s="21" t="str">
        <f t="shared" si="4"/>
        <v/>
      </c>
      <c r="F48" s="21" t="str">
        <f t="shared" si="5"/>
        <v/>
      </c>
      <c r="G48" s="21" t="str">
        <f t="shared" si="6"/>
        <v/>
      </c>
      <c r="H48" s="21" t="str">
        <f t="shared" si="0"/>
        <v/>
      </c>
      <c r="J48" s="5"/>
      <c r="K48" s="29"/>
      <c r="M48" s="15">
        <f t="shared" si="7"/>
        <v>-212.07954023799795</v>
      </c>
      <c r="N48" s="15">
        <f t="shared" si="8"/>
        <v>212.07954023799795</v>
      </c>
      <c r="P48" s="9">
        <v>24</v>
      </c>
      <c r="Q48" s="20">
        <f t="shared" si="11"/>
        <v>0</v>
      </c>
      <c r="R48" s="20">
        <f t="shared" si="10"/>
        <v>0</v>
      </c>
      <c r="S48" s="5">
        <f t="shared" si="1"/>
        <v>0</v>
      </c>
      <c r="T48">
        <f>SUM($S$26:S49)</f>
        <v>0</v>
      </c>
    </row>
    <row r="49" spans="1:20" x14ac:dyDescent="0.2">
      <c r="A49" s="6"/>
      <c r="B49" s="7"/>
      <c r="C49" s="9" t="str">
        <f t="shared" si="2"/>
        <v/>
      </c>
      <c r="D49" s="24" t="str">
        <f t="shared" si="3"/>
        <v/>
      </c>
      <c r="E49" s="21" t="str">
        <f t="shared" si="4"/>
        <v/>
      </c>
      <c r="F49" s="21" t="str">
        <f t="shared" si="5"/>
        <v/>
      </c>
      <c r="G49" s="21" t="str">
        <f t="shared" si="6"/>
        <v/>
      </c>
      <c r="H49" s="21" t="str">
        <f t="shared" si="0"/>
        <v/>
      </c>
      <c r="J49" s="5"/>
      <c r="K49" s="29"/>
      <c r="M49" s="15">
        <f t="shared" si="7"/>
        <v>-212.07954023799795</v>
      </c>
      <c r="N49" s="15">
        <f t="shared" si="8"/>
        <v>212.07954023799795</v>
      </c>
      <c r="P49" s="9">
        <v>25</v>
      </c>
      <c r="Q49" s="20">
        <f t="shared" si="11"/>
        <v>0</v>
      </c>
      <c r="R49" s="20">
        <f t="shared" si="10"/>
        <v>0</v>
      </c>
      <c r="S49" s="5">
        <f t="shared" si="1"/>
        <v>0</v>
      </c>
      <c r="T49">
        <f>SUM($S$26:S50)</f>
        <v>0</v>
      </c>
    </row>
    <row r="50" spans="1:20" x14ac:dyDescent="0.2">
      <c r="A50" s="6"/>
      <c r="B50" s="7"/>
      <c r="C50" s="9" t="str">
        <f t="shared" si="2"/>
        <v/>
      </c>
      <c r="D50" s="24" t="str">
        <f t="shared" si="3"/>
        <v/>
      </c>
      <c r="E50" s="21" t="str">
        <f t="shared" si="4"/>
        <v/>
      </c>
      <c r="F50" s="21" t="str">
        <f t="shared" si="5"/>
        <v/>
      </c>
      <c r="G50" s="21" t="str">
        <f t="shared" si="6"/>
        <v/>
      </c>
      <c r="H50" s="21" t="str">
        <f t="shared" si="0"/>
        <v/>
      </c>
      <c r="J50" s="5"/>
      <c r="K50" s="29"/>
      <c r="M50" s="15">
        <f t="shared" si="7"/>
        <v>-212.07954023799795</v>
      </c>
      <c r="N50" s="15">
        <f t="shared" si="8"/>
        <v>212.07954023799795</v>
      </c>
      <c r="P50" s="9">
        <v>26</v>
      </c>
      <c r="Q50" s="20">
        <f t="shared" si="11"/>
        <v>0</v>
      </c>
      <c r="R50" s="20">
        <f t="shared" si="10"/>
        <v>0</v>
      </c>
      <c r="S50" s="5">
        <f t="shared" si="1"/>
        <v>0</v>
      </c>
      <c r="T50">
        <f>SUM($S$26:S51)</f>
        <v>0</v>
      </c>
    </row>
    <row r="51" spans="1:20" x14ac:dyDescent="0.2">
      <c r="A51" s="6"/>
      <c r="B51" s="7"/>
      <c r="C51" s="9" t="str">
        <f t="shared" si="2"/>
        <v/>
      </c>
      <c r="D51" s="24" t="str">
        <f t="shared" si="3"/>
        <v/>
      </c>
      <c r="E51" s="21" t="str">
        <f t="shared" si="4"/>
        <v/>
      </c>
      <c r="F51" s="21" t="str">
        <f t="shared" si="5"/>
        <v/>
      </c>
      <c r="G51" s="21" t="str">
        <f t="shared" si="6"/>
        <v/>
      </c>
      <c r="H51" s="21" t="str">
        <f t="shared" si="0"/>
        <v/>
      </c>
      <c r="J51" s="5"/>
      <c r="K51" s="29"/>
      <c r="M51" s="15">
        <f t="shared" si="7"/>
        <v>-212.07954023799795</v>
      </c>
      <c r="N51" s="15">
        <f t="shared" si="8"/>
        <v>212.07954023799795</v>
      </c>
      <c r="P51" s="9">
        <v>27</v>
      </c>
      <c r="Q51" s="20">
        <f t="shared" si="11"/>
        <v>0</v>
      </c>
      <c r="R51" s="20">
        <f t="shared" si="10"/>
        <v>0</v>
      </c>
      <c r="S51" s="5">
        <f t="shared" si="1"/>
        <v>0</v>
      </c>
      <c r="T51">
        <f>SUM($S$26:S52)</f>
        <v>0</v>
      </c>
    </row>
    <row r="52" spans="1:20" x14ac:dyDescent="0.2">
      <c r="A52" s="6"/>
      <c r="B52" s="7"/>
      <c r="C52" s="9" t="str">
        <f t="shared" si="2"/>
        <v/>
      </c>
      <c r="D52" s="24" t="str">
        <f t="shared" si="3"/>
        <v/>
      </c>
      <c r="E52" s="21" t="str">
        <f t="shared" si="4"/>
        <v/>
      </c>
      <c r="F52" s="21" t="str">
        <f t="shared" si="5"/>
        <v/>
      </c>
      <c r="G52" s="21" t="str">
        <f t="shared" si="6"/>
        <v/>
      </c>
      <c r="H52" s="21" t="str">
        <f t="shared" si="0"/>
        <v/>
      </c>
      <c r="J52" s="5"/>
      <c r="K52" s="29"/>
      <c r="M52" s="15">
        <f t="shared" si="7"/>
        <v>-212.07954023799795</v>
      </c>
      <c r="N52" s="15">
        <f t="shared" si="8"/>
        <v>212.07954023799795</v>
      </c>
      <c r="P52" s="9">
        <v>28</v>
      </c>
      <c r="Q52" s="20">
        <f t="shared" si="11"/>
        <v>0</v>
      </c>
      <c r="R52" s="20">
        <f t="shared" si="10"/>
        <v>0</v>
      </c>
      <c r="S52" s="5">
        <f t="shared" si="1"/>
        <v>0</v>
      </c>
      <c r="T52">
        <f>SUM($S$26:S53)</f>
        <v>0</v>
      </c>
    </row>
    <row r="53" spans="1:20" x14ac:dyDescent="0.2">
      <c r="A53" s="6"/>
      <c r="B53" s="7"/>
      <c r="C53" s="9" t="str">
        <f t="shared" si="2"/>
        <v/>
      </c>
      <c r="D53" s="24" t="str">
        <f t="shared" si="3"/>
        <v/>
      </c>
      <c r="E53" s="21" t="str">
        <f t="shared" si="4"/>
        <v/>
      </c>
      <c r="F53" s="21" t="str">
        <f t="shared" si="5"/>
        <v/>
      </c>
      <c r="G53" s="21" t="str">
        <f t="shared" si="6"/>
        <v/>
      </c>
      <c r="H53" s="21" t="str">
        <f t="shared" si="0"/>
        <v/>
      </c>
      <c r="J53" s="5"/>
      <c r="K53" s="29"/>
      <c r="M53" s="15">
        <f t="shared" si="7"/>
        <v>-212.07954023799795</v>
      </c>
      <c r="N53" s="15">
        <f t="shared" si="8"/>
        <v>212.07954023799795</v>
      </c>
      <c r="P53" s="9">
        <v>29</v>
      </c>
      <c r="Q53" s="20">
        <f t="shared" si="11"/>
        <v>0</v>
      </c>
      <c r="R53" s="20">
        <f t="shared" si="10"/>
        <v>0</v>
      </c>
      <c r="S53" s="5">
        <f t="shared" si="1"/>
        <v>0</v>
      </c>
      <c r="T53">
        <f>SUM($S$26:S54)</f>
        <v>0</v>
      </c>
    </row>
    <row r="54" spans="1:20" x14ac:dyDescent="0.2">
      <c r="A54" s="6"/>
      <c r="B54" s="7"/>
      <c r="C54" s="9" t="str">
        <f t="shared" si="2"/>
        <v/>
      </c>
      <c r="D54" s="24" t="str">
        <f t="shared" si="3"/>
        <v/>
      </c>
      <c r="E54" s="21" t="str">
        <f t="shared" si="4"/>
        <v/>
      </c>
      <c r="F54" s="21" t="str">
        <f t="shared" si="5"/>
        <v/>
      </c>
      <c r="G54" s="21" t="str">
        <f t="shared" si="6"/>
        <v/>
      </c>
      <c r="H54" s="21" t="str">
        <f t="shared" si="0"/>
        <v/>
      </c>
      <c r="J54" s="5"/>
      <c r="K54" s="29"/>
      <c r="M54" s="15">
        <f t="shared" si="7"/>
        <v>-212.07954023799795</v>
      </c>
      <c r="N54" s="15">
        <f t="shared" si="8"/>
        <v>212.07954023799795</v>
      </c>
      <c r="P54" s="9">
        <v>30</v>
      </c>
      <c r="Q54" s="20">
        <f t="shared" si="11"/>
        <v>0</v>
      </c>
      <c r="R54" s="20">
        <f t="shared" si="10"/>
        <v>0</v>
      </c>
      <c r="S54" s="5">
        <f t="shared" si="1"/>
        <v>0</v>
      </c>
      <c r="T54">
        <f>SUM($S$26:S55)</f>
        <v>0</v>
      </c>
    </row>
    <row r="55" spans="1:20" x14ac:dyDescent="0.2">
      <c r="A55" s="6"/>
      <c r="B55" s="7"/>
      <c r="C55" s="9" t="str">
        <f t="shared" si="2"/>
        <v/>
      </c>
      <c r="D55" s="24" t="str">
        <f t="shared" si="3"/>
        <v/>
      </c>
      <c r="E55" s="21" t="str">
        <f t="shared" si="4"/>
        <v/>
      </c>
      <c r="F55" s="21" t="str">
        <f t="shared" si="5"/>
        <v/>
      </c>
      <c r="G55" s="21" t="str">
        <f t="shared" si="6"/>
        <v/>
      </c>
      <c r="H55" s="21" t="str">
        <f t="shared" si="0"/>
        <v/>
      </c>
      <c r="J55" s="5"/>
      <c r="K55" s="29"/>
      <c r="M55" s="15">
        <f t="shared" si="7"/>
        <v>-212.07954023799795</v>
      </c>
      <c r="N55" s="15">
        <f t="shared" si="8"/>
        <v>212.07954023799795</v>
      </c>
      <c r="P55" s="9">
        <v>31</v>
      </c>
      <c r="Q55" s="20">
        <f t="shared" si="11"/>
        <v>0</v>
      </c>
      <c r="R55" s="20">
        <f t="shared" si="10"/>
        <v>0</v>
      </c>
      <c r="S55" s="5">
        <f t="shared" si="1"/>
        <v>0</v>
      </c>
      <c r="T55">
        <f>SUM($S$26:S56)</f>
        <v>0</v>
      </c>
    </row>
    <row r="56" spans="1:20" x14ac:dyDescent="0.2">
      <c r="A56" s="6"/>
      <c r="B56" s="7"/>
      <c r="C56" s="9" t="str">
        <f t="shared" si="2"/>
        <v/>
      </c>
      <c r="D56" s="24" t="str">
        <f t="shared" si="3"/>
        <v/>
      </c>
      <c r="E56" s="21" t="str">
        <f t="shared" si="4"/>
        <v/>
      </c>
      <c r="F56" s="21" t="str">
        <f t="shared" si="5"/>
        <v/>
      </c>
      <c r="G56" s="21" t="str">
        <f t="shared" si="6"/>
        <v/>
      </c>
      <c r="H56" s="21" t="str">
        <f t="shared" si="0"/>
        <v/>
      </c>
      <c r="J56" s="5"/>
      <c r="K56" s="29"/>
      <c r="M56" s="15">
        <f t="shared" si="7"/>
        <v>-212.07954023799795</v>
      </c>
      <c r="N56" s="15">
        <f t="shared" si="8"/>
        <v>212.07954023799795</v>
      </c>
      <c r="P56" s="9">
        <v>32</v>
      </c>
      <c r="Q56" s="20">
        <f t="shared" si="11"/>
        <v>0</v>
      </c>
      <c r="R56" s="20">
        <f t="shared" si="10"/>
        <v>0</v>
      </c>
      <c r="S56" s="5">
        <f t="shared" si="1"/>
        <v>0</v>
      </c>
      <c r="T56">
        <f>SUM($S$26:S57)</f>
        <v>0</v>
      </c>
    </row>
    <row r="57" spans="1:20" x14ac:dyDescent="0.2">
      <c r="A57" s="6"/>
      <c r="B57" s="7"/>
      <c r="C57" s="9" t="str">
        <f t="shared" si="2"/>
        <v/>
      </c>
      <c r="D57" s="24" t="str">
        <f t="shared" si="3"/>
        <v/>
      </c>
      <c r="E57" s="21" t="str">
        <f t="shared" si="4"/>
        <v/>
      </c>
      <c r="F57" s="21" t="str">
        <f t="shared" si="5"/>
        <v/>
      </c>
      <c r="G57" s="21" t="str">
        <f t="shared" si="6"/>
        <v/>
      </c>
      <c r="H57" s="21" t="str">
        <f t="shared" si="0"/>
        <v/>
      </c>
      <c r="J57" s="5"/>
      <c r="K57" s="29"/>
      <c r="M57" s="15">
        <f t="shared" si="7"/>
        <v>-212.07954023799795</v>
      </c>
      <c r="N57" s="15">
        <f t="shared" si="8"/>
        <v>212.07954023799795</v>
      </c>
      <c r="P57" s="9">
        <v>33</v>
      </c>
      <c r="Q57" s="20">
        <f t="shared" si="11"/>
        <v>0</v>
      </c>
      <c r="R57" s="20">
        <f t="shared" si="10"/>
        <v>0</v>
      </c>
      <c r="S57" s="5">
        <f t="shared" ref="S57:S88" si="12">IF(C57&gt;$C$15,0,IF(ABS(G57)&gt;=$I$3,1,0))</f>
        <v>0</v>
      </c>
      <c r="T57">
        <f>SUM($S$26:S58)</f>
        <v>0</v>
      </c>
    </row>
    <row r="58" spans="1:20" x14ac:dyDescent="0.2">
      <c r="A58" s="6"/>
      <c r="B58" s="7"/>
      <c r="C58" s="9" t="str">
        <f t="shared" si="2"/>
        <v/>
      </c>
      <c r="D58" s="24" t="str">
        <f t="shared" si="3"/>
        <v/>
      </c>
      <c r="E58" s="21" t="str">
        <f>IF(A58="","",$N$17+$N$18*C58)</f>
        <v/>
      </c>
      <c r="F58" s="21" t="str">
        <f t="shared" si="5"/>
        <v/>
      </c>
      <c r="G58" s="21" t="str">
        <f t="shared" si="6"/>
        <v/>
      </c>
      <c r="H58" s="21" t="str">
        <f t="shared" si="0"/>
        <v/>
      </c>
      <c r="J58" s="5"/>
      <c r="K58" s="29"/>
      <c r="M58" s="15">
        <f t="shared" si="7"/>
        <v>-212.07954023799795</v>
      </c>
      <c r="N58" s="15">
        <f t="shared" si="8"/>
        <v>212.07954023799795</v>
      </c>
      <c r="P58" s="9">
        <v>34</v>
      </c>
      <c r="Q58" s="20">
        <f t="shared" si="11"/>
        <v>0</v>
      </c>
      <c r="R58" s="20">
        <f t="shared" si="10"/>
        <v>0</v>
      </c>
      <c r="S58" s="5">
        <f t="shared" si="12"/>
        <v>0</v>
      </c>
      <c r="T58">
        <f>SUM($S$26:S59)</f>
        <v>0</v>
      </c>
    </row>
    <row r="59" spans="1:20" x14ac:dyDescent="0.2">
      <c r="A59" s="6"/>
      <c r="B59" s="7"/>
      <c r="C59" s="9" t="str">
        <f t="shared" si="2"/>
        <v/>
      </c>
      <c r="D59" s="24" t="str">
        <f t="shared" si="3"/>
        <v/>
      </c>
      <c r="E59" s="21" t="str">
        <f t="shared" si="4"/>
        <v/>
      </c>
      <c r="F59" s="21" t="str">
        <f t="shared" si="5"/>
        <v/>
      </c>
      <c r="G59" s="21" t="str">
        <f t="shared" si="6"/>
        <v/>
      </c>
      <c r="H59" s="21" t="str">
        <f t="shared" si="0"/>
        <v/>
      </c>
      <c r="J59" s="5"/>
      <c r="K59" s="29"/>
      <c r="M59" s="15">
        <f t="shared" si="7"/>
        <v>-212.07954023799795</v>
      </c>
      <c r="N59" s="15">
        <f t="shared" si="8"/>
        <v>212.07954023799795</v>
      </c>
      <c r="P59" s="9">
        <v>35</v>
      </c>
      <c r="Q59" s="20">
        <f t="shared" si="11"/>
        <v>0</v>
      </c>
      <c r="R59" s="20">
        <f t="shared" si="10"/>
        <v>0</v>
      </c>
      <c r="S59" s="5">
        <f t="shared" si="12"/>
        <v>0</v>
      </c>
      <c r="T59">
        <f>SUM($S$26:S60)</f>
        <v>0</v>
      </c>
    </row>
    <row r="60" spans="1:20" x14ac:dyDescent="0.2">
      <c r="A60" s="6"/>
      <c r="B60" s="7"/>
      <c r="C60" s="9" t="str">
        <f t="shared" si="2"/>
        <v/>
      </c>
      <c r="D60" s="24" t="str">
        <f t="shared" si="3"/>
        <v/>
      </c>
      <c r="E60" s="21" t="str">
        <f t="shared" si="4"/>
        <v/>
      </c>
      <c r="F60" s="21" t="str">
        <f t="shared" si="5"/>
        <v/>
      </c>
      <c r="G60" s="21" t="str">
        <f t="shared" si="6"/>
        <v/>
      </c>
      <c r="H60" s="21" t="str">
        <f t="shared" si="0"/>
        <v/>
      </c>
      <c r="J60" s="5"/>
      <c r="K60" s="29"/>
      <c r="M60" s="15">
        <f t="shared" si="7"/>
        <v>-212.07954023799795</v>
      </c>
      <c r="N60" s="15">
        <f t="shared" si="8"/>
        <v>212.07954023799795</v>
      </c>
      <c r="P60" s="9">
        <v>36</v>
      </c>
      <c r="Q60" s="20">
        <f t="shared" si="11"/>
        <v>0</v>
      </c>
      <c r="R60" s="20">
        <f t="shared" si="10"/>
        <v>0</v>
      </c>
      <c r="S60" s="5">
        <f t="shared" si="12"/>
        <v>0</v>
      </c>
      <c r="T60">
        <f>SUM($S$26:S61)</f>
        <v>0</v>
      </c>
    </row>
    <row r="61" spans="1:20" x14ac:dyDescent="0.2">
      <c r="A61" s="6"/>
      <c r="B61" s="7"/>
      <c r="C61" s="9" t="str">
        <f t="shared" si="2"/>
        <v/>
      </c>
      <c r="D61" s="24" t="str">
        <f t="shared" si="3"/>
        <v/>
      </c>
      <c r="E61" s="21" t="str">
        <f t="shared" si="4"/>
        <v/>
      </c>
      <c r="F61" s="21" t="str">
        <f t="shared" si="5"/>
        <v/>
      </c>
      <c r="G61" s="21" t="str">
        <f t="shared" si="6"/>
        <v/>
      </c>
      <c r="H61" s="21" t="str">
        <f t="shared" si="0"/>
        <v/>
      </c>
      <c r="J61" s="5"/>
      <c r="K61" s="29"/>
      <c r="M61" s="15">
        <f t="shared" si="7"/>
        <v>-212.07954023799795</v>
      </c>
      <c r="N61" s="15">
        <f t="shared" si="8"/>
        <v>212.07954023799795</v>
      </c>
      <c r="P61" s="9">
        <v>37</v>
      </c>
      <c r="Q61" s="20">
        <f t="shared" si="11"/>
        <v>0</v>
      </c>
      <c r="R61" s="20">
        <f t="shared" si="10"/>
        <v>0</v>
      </c>
      <c r="S61" s="5">
        <f t="shared" si="12"/>
        <v>0</v>
      </c>
      <c r="T61">
        <f>SUM($S$26:S62)</f>
        <v>0</v>
      </c>
    </row>
    <row r="62" spans="1:20" x14ac:dyDescent="0.2">
      <c r="A62" s="6"/>
      <c r="B62" s="7"/>
      <c r="C62" s="9" t="str">
        <f t="shared" si="2"/>
        <v/>
      </c>
      <c r="D62" s="24" t="str">
        <f t="shared" si="3"/>
        <v/>
      </c>
      <c r="E62" s="21" t="str">
        <f t="shared" si="4"/>
        <v/>
      </c>
      <c r="F62" s="21" t="str">
        <f t="shared" si="5"/>
        <v/>
      </c>
      <c r="G62" s="21" t="str">
        <f t="shared" si="6"/>
        <v/>
      </c>
      <c r="H62" s="21" t="str">
        <f t="shared" si="0"/>
        <v/>
      </c>
      <c r="J62" s="5"/>
      <c r="K62" s="29"/>
      <c r="M62" s="15">
        <f t="shared" si="7"/>
        <v>-212.07954023799795</v>
      </c>
      <c r="N62" s="15">
        <f t="shared" si="8"/>
        <v>212.07954023799795</v>
      </c>
      <c r="P62" s="9">
        <v>38</v>
      </c>
      <c r="Q62" s="20">
        <f t="shared" si="11"/>
        <v>0</v>
      </c>
      <c r="R62" s="20">
        <f t="shared" si="10"/>
        <v>0</v>
      </c>
      <c r="S62" s="5">
        <f t="shared" si="12"/>
        <v>0</v>
      </c>
      <c r="T62">
        <f>SUM($S$26:S63)</f>
        <v>0</v>
      </c>
    </row>
    <row r="63" spans="1:20" x14ac:dyDescent="0.2">
      <c r="A63" s="6"/>
      <c r="B63" s="7"/>
      <c r="C63" s="9" t="str">
        <f>IF(A63="","",A63)</f>
        <v/>
      </c>
      <c r="D63" s="24" t="str">
        <f t="shared" si="3"/>
        <v/>
      </c>
      <c r="E63" s="21" t="str">
        <f t="shared" si="4"/>
        <v/>
      </c>
      <c r="F63" s="21" t="str">
        <f t="shared" si="5"/>
        <v/>
      </c>
      <c r="G63" s="21" t="str">
        <f t="shared" si="6"/>
        <v/>
      </c>
      <c r="H63" s="21" t="str">
        <f t="shared" si="0"/>
        <v/>
      </c>
      <c r="J63" s="5"/>
      <c r="K63" s="29"/>
      <c r="M63" s="15">
        <f t="shared" si="7"/>
        <v>-212.07954023799795</v>
      </c>
      <c r="N63" s="15">
        <f t="shared" si="8"/>
        <v>212.07954023799795</v>
      </c>
      <c r="P63" s="9">
        <v>39</v>
      </c>
      <c r="Q63" s="20">
        <f t="shared" si="11"/>
        <v>0</v>
      </c>
      <c r="R63" s="20">
        <f t="shared" si="10"/>
        <v>0</v>
      </c>
      <c r="S63" s="5">
        <f t="shared" si="12"/>
        <v>0</v>
      </c>
      <c r="T63">
        <f>SUM($S$26:S64)</f>
        <v>0</v>
      </c>
    </row>
    <row r="64" spans="1:20" x14ac:dyDescent="0.2">
      <c r="A64" s="6"/>
      <c r="B64" s="7"/>
      <c r="C64" s="9" t="str">
        <f t="shared" si="2"/>
        <v/>
      </c>
      <c r="D64" s="24" t="str">
        <f t="shared" si="3"/>
        <v/>
      </c>
      <c r="E64" s="21" t="str">
        <f t="shared" si="4"/>
        <v/>
      </c>
      <c r="F64" s="21" t="str">
        <f t="shared" si="5"/>
        <v/>
      </c>
      <c r="G64" s="21" t="str">
        <f t="shared" si="6"/>
        <v/>
      </c>
      <c r="H64" s="21" t="str">
        <f t="shared" si="0"/>
        <v/>
      </c>
      <c r="J64" s="5"/>
      <c r="K64" s="29"/>
      <c r="M64" s="15">
        <f t="shared" si="7"/>
        <v>-212.07954023799795</v>
      </c>
      <c r="N64" s="15">
        <f t="shared" si="8"/>
        <v>212.07954023799795</v>
      </c>
      <c r="P64" s="9">
        <v>40</v>
      </c>
      <c r="Q64" s="20">
        <f t="shared" si="11"/>
        <v>0</v>
      </c>
      <c r="R64" s="20">
        <f t="shared" si="10"/>
        <v>0</v>
      </c>
      <c r="S64" s="5">
        <f t="shared" si="12"/>
        <v>0</v>
      </c>
      <c r="T64">
        <f>SUM($S$26:S65)</f>
        <v>0</v>
      </c>
    </row>
    <row r="65" spans="1:20" x14ac:dyDescent="0.2">
      <c r="A65" s="6"/>
      <c r="B65" s="7"/>
      <c r="C65" s="9" t="str">
        <f t="shared" si="2"/>
        <v/>
      </c>
      <c r="D65" s="24" t="str">
        <f t="shared" si="3"/>
        <v/>
      </c>
      <c r="E65" s="21" t="str">
        <f t="shared" si="4"/>
        <v/>
      </c>
      <c r="F65" s="21" t="str">
        <f t="shared" si="5"/>
        <v/>
      </c>
      <c r="G65" s="21" t="str">
        <f t="shared" si="6"/>
        <v/>
      </c>
      <c r="H65" s="21" t="str">
        <f t="shared" si="0"/>
        <v/>
      </c>
      <c r="J65" s="5"/>
      <c r="K65" s="29"/>
      <c r="M65" s="15">
        <f t="shared" si="7"/>
        <v>-212.07954023799795</v>
      </c>
      <c r="N65" s="15">
        <f t="shared" si="8"/>
        <v>212.07954023799795</v>
      </c>
      <c r="P65" s="9">
        <v>41</v>
      </c>
      <c r="Q65" s="20">
        <f t="shared" si="11"/>
        <v>0</v>
      </c>
      <c r="R65" s="20">
        <f t="shared" si="10"/>
        <v>0</v>
      </c>
      <c r="S65" s="5">
        <f t="shared" si="12"/>
        <v>0</v>
      </c>
      <c r="T65">
        <f>SUM($S$26:S66)</f>
        <v>0</v>
      </c>
    </row>
    <row r="66" spans="1:20" x14ac:dyDescent="0.2">
      <c r="A66" s="6"/>
      <c r="B66" s="7"/>
      <c r="C66" s="9" t="str">
        <f t="shared" si="2"/>
        <v/>
      </c>
      <c r="D66" s="24" t="str">
        <f t="shared" si="3"/>
        <v/>
      </c>
      <c r="E66" s="21" t="str">
        <f t="shared" si="4"/>
        <v/>
      </c>
      <c r="F66" s="21" t="str">
        <f t="shared" si="5"/>
        <v/>
      </c>
      <c r="G66" s="21" t="str">
        <f t="shared" si="6"/>
        <v/>
      </c>
      <c r="H66" s="21" t="str">
        <f t="shared" si="0"/>
        <v/>
      </c>
      <c r="J66" s="5"/>
      <c r="K66" s="29"/>
      <c r="M66" s="15">
        <f t="shared" si="7"/>
        <v>-212.07954023799795</v>
      </c>
      <c r="N66" s="15">
        <f t="shared" si="8"/>
        <v>212.07954023799795</v>
      </c>
      <c r="P66" s="9">
        <v>42</v>
      </c>
      <c r="Q66" s="20">
        <f t="shared" ref="Q66:Q97" si="13">IF(C66&gt;$C$15,0,+Q65+ABS(G66))</f>
        <v>0</v>
      </c>
      <c r="R66" s="20">
        <f t="shared" si="10"/>
        <v>0</v>
      </c>
      <c r="S66" s="5">
        <f t="shared" si="12"/>
        <v>0</v>
      </c>
      <c r="T66">
        <f>SUM($S$26:S67)</f>
        <v>0</v>
      </c>
    </row>
    <row r="67" spans="1:20" x14ac:dyDescent="0.2">
      <c r="A67" s="6"/>
      <c r="B67" s="7"/>
      <c r="C67" s="9" t="str">
        <f t="shared" si="2"/>
        <v/>
      </c>
      <c r="D67" s="24" t="str">
        <f t="shared" si="3"/>
        <v/>
      </c>
      <c r="E67" s="21" t="str">
        <f t="shared" si="4"/>
        <v/>
      </c>
      <c r="F67" s="21" t="str">
        <f t="shared" si="5"/>
        <v/>
      </c>
      <c r="G67" s="21" t="str">
        <f t="shared" si="6"/>
        <v/>
      </c>
      <c r="H67" s="21" t="str">
        <f t="shared" si="0"/>
        <v/>
      </c>
      <c r="J67" s="5"/>
      <c r="K67" s="29"/>
      <c r="M67" s="15">
        <f t="shared" si="7"/>
        <v>-212.07954023799795</v>
      </c>
      <c r="N67" s="15">
        <f t="shared" si="8"/>
        <v>212.07954023799795</v>
      </c>
      <c r="P67" s="9">
        <v>43</v>
      </c>
      <c r="Q67" s="20">
        <f t="shared" si="13"/>
        <v>0</v>
      </c>
      <c r="R67" s="20">
        <f t="shared" si="10"/>
        <v>0</v>
      </c>
      <c r="S67" s="5">
        <f t="shared" si="12"/>
        <v>0</v>
      </c>
      <c r="T67">
        <f>SUM($S$26:S68)</f>
        <v>0</v>
      </c>
    </row>
    <row r="68" spans="1:20" x14ac:dyDescent="0.2">
      <c r="A68" s="6"/>
      <c r="B68" s="7"/>
      <c r="C68" s="9" t="str">
        <f t="shared" si="2"/>
        <v/>
      </c>
      <c r="D68" s="24" t="str">
        <f t="shared" si="3"/>
        <v/>
      </c>
      <c r="E68" s="21" t="str">
        <f t="shared" si="4"/>
        <v/>
      </c>
      <c r="F68" s="21" t="str">
        <f t="shared" si="5"/>
        <v/>
      </c>
      <c r="G68" s="21" t="str">
        <f t="shared" si="6"/>
        <v/>
      </c>
      <c r="H68" s="21" t="str">
        <f t="shared" si="0"/>
        <v/>
      </c>
      <c r="J68" s="5"/>
      <c r="K68" s="29"/>
      <c r="M68" s="15">
        <f t="shared" si="7"/>
        <v>-212.07954023799795</v>
      </c>
      <c r="N68" s="15">
        <f t="shared" si="8"/>
        <v>212.07954023799795</v>
      </c>
      <c r="P68" s="9">
        <v>44</v>
      </c>
      <c r="Q68" s="20">
        <f t="shared" si="13"/>
        <v>0</v>
      </c>
      <c r="R68" s="20">
        <f t="shared" si="10"/>
        <v>0</v>
      </c>
      <c r="S68" s="5">
        <f t="shared" si="12"/>
        <v>0</v>
      </c>
      <c r="T68">
        <f>SUM($S$26:S69)</f>
        <v>0</v>
      </c>
    </row>
    <row r="69" spans="1:20" x14ac:dyDescent="0.2">
      <c r="A69" s="6"/>
      <c r="B69" s="7"/>
      <c r="C69" s="9" t="str">
        <f t="shared" si="2"/>
        <v/>
      </c>
      <c r="D69" s="24" t="str">
        <f t="shared" si="3"/>
        <v/>
      </c>
      <c r="E69" s="21" t="str">
        <f t="shared" si="4"/>
        <v/>
      </c>
      <c r="F69" s="21" t="str">
        <f t="shared" si="5"/>
        <v/>
      </c>
      <c r="G69" s="21" t="str">
        <f t="shared" si="6"/>
        <v/>
      </c>
      <c r="H69" s="21" t="str">
        <f t="shared" si="0"/>
        <v/>
      </c>
      <c r="J69" s="5"/>
      <c r="K69" s="29"/>
      <c r="M69" s="15">
        <f t="shared" si="7"/>
        <v>-212.07954023799795</v>
      </c>
      <c r="N69" s="15">
        <f t="shared" si="8"/>
        <v>212.07954023799795</v>
      </c>
      <c r="P69" s="9">
        <v>45</v>
      </c>
      <c r="Q69" s="20">
        <f t="shared" si="13"/>
        <v>0</v>
      </c>
      <c r="R69" s="20">
        <f t="shared" si="10"/>
        <v>0</v>
      </c>
      <c r="S69" s="5">
        <f t="shared" si="12"/>
        <v>0</v>
      </c>
      <c r="T69">
        <f>SUM($S$26:S70)</f>
        <v>0</v>
      </c>
    </row>
    <row r="70" spans="1:20" x14ac:dyDescent="0.2">
      <c r="A70" s="6"/>
      <c r="B70" s="7"/>
      <c r="C70" s="9" t="str">
        <f t="shared" si="2"/>
        <v/>
      </c>
      <c r="D70" s="24" t="str">
        <f t="shared" si="3"/>
        <v/>
      </c>
      <c r="E70" s="21" t="str">
        <f t="shared" si="4"/>
        <v/>
      </c>
      <c r="F70" s="21" t="str">
        <f t="shared" si="5"/>
        <v/>
      </c>
      <c r="G70" s="21" t="str">
        <f t="shared" si="6"/>
        <v/>
      </c>
      <c r="H70" s="21" t="str">
        <f t="shared" si="0"/>
        <v/>
      </c>
      <c r="J70" s="5"/>
      <c r="K70" s="29"/>
      <c r="M70" s="15">
        <f t="shared" si="7"/>
        <v>-212.07954023799795</v>
      </c>
      <c r="N70" s="15">
        <f t="shared" si="8"/>
        <v>212.07954023799795</v>
      </c>
      <c r="P70" s="9">
        <v>46</v>
      </c>
      <c r="Q70" s="20">
        <f t="shared" si="13"/>
        <v>0</v>
      </c>
      <c r="R70" s="20">
        <f t="shared" si="10"/>
        <v>0</v>
      </c>
      <c r="S70" s="5">
        <f t="shared" si="12"/>
        <v>0</v>
      </c>
      <c r="T70">
        <f>SUM($S$26:S71)</f>
        <v>0</v>
      </c>
    </row>
    <row r="71" spans="1:20" x14ac:dyDescent="0.2">
      <c r="A71" s="6"/>
      <c r="B71" s="7"/>
      <c r="C71" s="9" t="str">
        <f t="shared" si="2"/>
        <v/>
      </c>
      <c r="D71" s="24" t="str">
        <f t="shared" si="3"/>
        <v/>
      </c>
      <c r="E71" s="21" t="str">
        <f t="shared" si="4"/>
        <v/>
      </c>
      <c r="F71" s="21" t="str">
        <f t="shared" si="5"/>
        <v/>
      </c>
      <c r="G71" s="21" t="str">
        <f t="shared" si="6"/>
        <v/>
      </c>
      <c r="H71" s="21" t="str">
        <f t="shared" si="0"/>
        <v/>
      </c>
      <c r="J71" s="5"/>
      <c r="K71" s="29"/>
      <c r="M71" s="15">
        <f t="shared" si="7"/>
        <v>-212.07954023799795</v>
      </c>
      <c r="N71" s="15">
        <f t="shared" si="8"/>
        <v>212.07954023799795</v>
      </c>
      <c r="P71" s="9">
        <v>47</v>
      </c>
      <c r="Q71" s="20">
        <f t="shared" si="13"/>
        <v>0</v>
      </c>
      <c r="R71" s="20">
        <f t="shared" si="10"/>
        <v>0</v>
      </c>
      <c r="S71" s="5">
        <f t="shared" si="12"/>
        <v>0</v>
      </c>
      <c r="T71">
        <f>SUM($S$26:S72)</f>
        <v>0</v>
      </c>
    </row>
    <row r="72" spans="1:20" x14ac:dyDescent="0.2">
      <c r="A72" s="6"/>
      <c r="B72" s="7"/>
      <c r="C72" s="9" t="str">
        <f t="shared" si="2"/>
        <v/>
      </c>
      <c r="D72" s="24" t="str">
        <f>IF(A72="","",IF(B72="",NA(),LN(B72)))</f>
        <v/>
      </c>
      <c r="E72" s="21" t="str">
        <f t="shared" si="4"/>
        <v/>
      </c>
      <c r="F72" s="21" t="str">
        <f t="shared" si="5"/>
        <v/>
      </c>
      <c r="G72" s="21" t="str">
        <f t="shared" si="6"/>
        <v/>
      </c>
      <c r="H72" s="21" t="str">
        <f t="shared" si="0"/>
        <v/>
      </c>
      <c r="J72" s="5"/>
      <c r="K72" s="29"/>
      <c r="M72" s="15">
        <f t="shared" si="7"/>
        <v>-212.07954023799795</v>
      </c>
      <c r="N72" s="15">
        <f t="shared" si="8"/>
        <v>212.07954023799795</v>
      </c>
      <c r="P72" s="9">
        <v>48</v>
      </c>
      <c r="Q72" s="20">
        <f t="shared" si="13"/>
        <v>0</v>
      </c>
      <c r="R72" s="20">
        <f t="shared" si="10"/>
        <v>0</v>
      </c>
      <c r="S72" s="5">
        <f t="shared" si="12"/>
        <v>0</v>
      </c>
      <c r="T72">
        <f>SUM($S$26:S73)</f>
        <v>0</v>
      </c>
    </row>
    <row r="73" spans="1:20" x14ac:dyDescent="0.2">
      <c r="A73" s="6"/>
      <c r="B73" s="7"/>
      <c r="C73" s="9" t="str">
        <f t="shared" si="2"/>
        <v/>
      </c>
      <c r="D73" s="24" t="str">
        <f t="shared" si="3"/>
        <v/>
      </c>
      <c r="E73" s="21" t="str">
        <f t="shared" si="4"/>
        <v/>
      </c>
      <c r="F73" s="21" t="str">
        <f t="shared" si="5"/>
        <v/>
      </c>
      <c r="G73" s="21" t="str">
        <f t="shared" si="6"/>
        <v/>
      </c>
      <c r="H73" s="21" t="str">
        <f t="shared" si="0"/>
        <v/>
      </c>
      <c r="J73" s="5"/>
      <c r="K73" s="29"/>
      <c r="M73" s="15">
        <f t="shared" si="7"/>
        <v>-212.07954023799795</v>
      </c>
      <c r="N73" s="15">
        <f t="shared" si="8"/>
        <v>212.07954023799795</v>
      </c>
      <c r="P73" s="9">
        <v>49</v>
      </c>
      <c r="Q73" s="20">
        <f t="shared" si="13"/>
        <v>0</v>
      </c>
      <c r="R73" s="20">
        <f t="shared" si="10"/>
        <v>0</v>
      </c>
      <c r="S73" s="5">
        <f t="shared" si="12"/>
        <v>0</v>
      </c>
      <c r="T73">
        <f>SUM($S$26:S74)</f>
        <v>0</v>
      </c>
    </row>
    <row r="74" spans="1:20" x14ac:dyDescent="0.2">
      <c r="A74" s="6"/>
      <c r="B74" s="7"/>
      <c r="C74" s="9" t="str">
        <f t="shared" si="2"/>
        <v/>
      </c>
      <c r="D74" s="24" t="str">
        <f t="shared" si="3"/>
        <v/>
      </c>
      <c r="E74" s="21" t="str">
        <f t="shared" si="4"/>
        <v/>
      </c>
      <c r="F74" s="21" t="str">
        <f t="shared" si="5"/>
        <v/>
      </c>
      <c r="G74" s="21" t="str">
        <f t="shared" si="6"/>
        <v/>
      </c>
      <c r="H74" s="21" t="str">
        <f t="shared" si="0"/>
        <v/>
      </c>
      <c r="J74" s="5"/>
      <c r="K74" s="29"/>
      <c r="M74" s="15">
        <f t="shared" si="7"/>
        <v>-212.07954023799795</v>
      </c>
      <c r="N74" s="15">
        <f t="shared" si="8"/>
        <v>212.07954023799795</v>
      </c>
      <c r="P74" s="9">
        <v>50</v>
      </c>
      <c r="Q74" s="20">
        <f t="shared" si="13"/>
        <v>0</v>
      </c>
      <c r="R74" s="20">
        <f t="shared" si="10"/>
        <v>0</v>
      </c>
      <c r="S74" s="5">
        <f t="shared" si="12"/>
        <v>0</v>
      </c>
      <c r="T74">
        <f>SUM($S$26:S75)</f>
        <v>0</v>
      </c>
    </row>
    <row r="75" spans="1:20" x14ac:dyDescent="0.2">
      <c r="A75" s="6"/>
      <c r="B75" s="7"/>
      <c r="C75" s="9" t="str">
        <f t="shared" si="2"/>
        <v/>
      </c>
      <c r="D75" s="24" t="str">
        <f t="shared" si="3"/>
        <v/>
      </c>
      <c r="E75" s="21" t="str">
        <f t="shared" si="4"/>
        <v/>
      </c>
      <c r="F75" s="21" t="str">
        <f t="shared" si="5"/>
        <v/>
      </c>
      <c r="G75" s="21" t="str">
        <f t="shared" si="6"/>
        <v/>
      </c>
      <c r="H75" s="21" t="str">
        <f t="shared" si="0"/>
        <v/>
      </c>
      <c r="J75" s="5"/>
      <c r="K75" s="29"/>
      <c r="M75" s="15">
        <f t="shared" si="7"/>
        <v>-212.07954023799795</v>
      </c>
      <c r="N75" s="15">
        <f t="shared" si="8"/>
        <v>212.07954023799795</v>
      </c>
      <c r="P75" s="9">
        <v>51</v>
      </c>
      <c r="Q75" s="20">
        <f t="shared" si="13"/>
        <v>0</v>
      </c>
      <c r="R75" s="20">
        <f t="shared" si="10"/>
        <v>0</v>
      </c>
      <c r="S75" s="5">
        <f t="shared" si="12"/>
        <v>0</v>
      </c>
      <c r="T75">
        <f>SUM($S$26:S76)</f>
        <v>0</v>
      </c>
    </row>
    <row r="76" spans="1:20" x14ac:dyDescent="0.2">
      <c r="A76" s="6"/>
      <c r="B76" s="7"/>
      <c r="C76" s="9" t="str">
        <f t="shared" si="2"/>
        <v/>
      </c>
      <c r="D76" s="24" t="str">
        <f t="shared" si="3"/>
        <v/>
      </c>
      <c r="E76" s="21" t="str">
        <f t="shared" si="4"/>
        <v/>
      </c>
      <c r="F76" s="21" t="str">
        <f t="shared" si="5"/>
        <v/>
      </c>
      <c r="G76" s="21" t="str">
        <f t="shared" si="6"/>
        <v/>
      </c>
      <c r="H76" s="21" t="str">
        <f t="shared" si="0"/>
        <v/>
      </c>
      <c r="J76" s="5"/>
      <c r="K76" s="29"/>
      <c r="M76" s="15">
        <f t="shared" si="7"/>
        <v>-212.07954023799795</v>
      </c>
      <c r="N76" s="15">
        <f t="shared" si="8"/>
        <v>212.07954023799795</v>
      </c>
      <c r="P76" s="9">
        <v>52</v>
      </c>
      <c r="Q76" s="20">
        <f t="shared" si="13"/>
        <v>0</v>
      </c>
      <c r="R76" s="20">
        <f t="shared" si="10"/>
        <v>0</v>
      </c>
      <c r="S76" s="5">
        <f t="shared" si="12"/>
        <v>0</v>
      </c>
      <c r="T76">
        <f>SUM($S$26:S77)</f>
        <v>0</v>
      </c>
    </row>
    <row r="77" spans="1:20" x14ac:dyDescent="0.2">
      <c r="A77" s="6"/>
      <c r="B77" s="7"/>
      <c r="C77" s="9" t="str">
        <f t="shared" si="2"/>
        <v/>
      </c>
      <c r="D77" s="24" t="str">
        <f t="shared" si="3"/>
        <v/>
      </c>
      <c r="E77" s="21" t="str">
        <f t="shared" si="4"/>
        <v/>
      </c>
      <c r="F77" s="21" t="str">
        <f t="shared" si="5"/>
        <v/>
      </c>
      <c r="G77" s="21" t="str">
        <f t="shared" si="6"/>
        <v/>
      </c>
      <c r="H77" s="21" t="str">
        <f t="shared" si="0"/>
        <v/>
      </c>
      <c r="J77" s="5"/>
      <c r="K77" s="29"/>
      <c r="M77" s="15">
        <f t="shared" si="7"/>
        <v>-212.07954023799795</v>
      </c>
      <c r="N77" s="15">
        <f t="shared" si="8"/>
        <v>212.07954023799795</v>
      </c>
      <c r="P77" s="9">
        <v>53</v>
      </c>
      <c r="Q77" s="20">
        <f t="shared" si="13"/>
        <v>0</v>
      </c>
      <c r="R77" s="20">
        <f t="shared" si="10"/>
        <v>0</v>
      </c>
      <c r="S77" s="5">
        <f t="shared" si="12"/>
        <v>0</v>
      </c>
      <c r="T77">
        <f>SUM($S$26:S78)</f>
        <v>0</v>
      </c>
    </row>
    <row r="78" spans="1:20" x14ac:dyDescent="0.2">
      <c r="A78" s="6"/>
      <c r="B78" s="7"/>
      <c r="C78" s="9" t="str">
        <f t="shared" si="2"/>
        <v/>
      </c>
      <c r="D78" s="24" t="str">
        <f t="shared" si="3"/>
        <v/>
      </c>
      <c r="E78" s="21" t="str">
        <f t="shared" si="4"/>
        <v/>
      </c>
      <c r="F78" s="21" t="str">
        <f t="shared" si="5"/>
        <v/>
      </c>
      <c r="G78" s="21" t="str">
        <f t="shared" si="6"/>
        <v/>
      </c>
      <c r="H78" s="21" t="str">
        <f t="shared" si="0"/>
        <v/>
      </c>
      <c r="J78" s="5"/>
      <c r="K78" s="29"/>
      <c r="M78" s="15">
        <f t="shared" si="7"/>
        <v>-212.07954023799795</v>
      </c>
      <c r="N78" s="15">
        <f t="shared" si="8"/>
        <v>212.07954023799795</v>
      </c>
      <c r="P78" s="9">
        <v>54</v>
      </c>
      <c r="Q78" s="20">
        <f t="shared" si="13"/>
        <v>0</v>
      </c>
      <c r="R78" s="20">
        <f t="shared" si="10"/>
        <v>0</v>
      </c>
      <c r="S78" s="5">
        <f t="shared" si="12"/>
        <v>0</v>
      </c>
      <c r="T78">
        <f>SUM($S$26:S79)</f>
        <v>0</v>
      </c>
    </row>
    <row r="79" spans="1:20" x14ac:dyDescent="0.2">
      <c r="A79" s="6"/>
      <c r="B79" s="7"/>
      <c r="C79" s="9" t="str">
        <f t="shared" si="2"/>
        <v/>
      </c>
      <c r="D79" s="24" t="str">
        <f t="shared" si="3"/>
        <v/>
      </c>
      <c r="E79" s="21" t="str">
        <f t="shared" si="4"/>
        <v/>
      </c>
      <c r="F79" s="21" t="str">
        <f t="shared" si="5"/>
        <v/>
      </c>
      <c r="G79" s="21" t="str">
        <f t="shared" si="6"/>
        <v/>
      </c>
      <c r="H79" s="21" t="str">
        <f t="shared" si="0"/>
        <v/>
      </c>
      <c r="J79" s="5"/>
      <c r="K79" s="29"/>
      <c r="M79" s="15">
        <f t="shared" si="7"/>
        <v>-212.07954023799795</v>
      </c>
      <c r="N79" s="15">
        <f t="shared" si="8"/>
        <v>212.07954023799795</v>
      </c>
      <c r="P79" s="9">
        <v>55</v>
      </c>
      <c r="Q79" s="20">
        <f t="shared" si="13"/>
        <v>0</v>
      </c>
      <c r="R79" s="20">
        <f t="shared" si="10"/>
        <v>0</v>
      </c>
      <c r="S79" s="5">
        <f t="shared" si="12"/>
        <v>0</v>
      </c>
      <c r="T79">
        <f>SUM($S$26:S80)</f>
        <v>0</v>
      </c>
    </row>
    <row r="80" spans="1:20" x14ac:dyDescent="0.2">
      <c r="A80" s="6"/>
      <c r="B80" s="7"/>
      <c r="C80" s="9" t="str">
        <f t="shared" si="2"/>
        <v/>
      </c>
      <c r="D80" s="24" t="str">
        <f t="shared" si="3"/>
        <v/>
      </c>
      <c r="E80" s="21" t="str">
        <f>IF(A80="","",$N$17+$N$18*C80)</f>
        <v/>
      </c>
      <c r="F80" s="21" t="str">
        <f t="shared" si="5"/>
        <v/>
      </c>
      <c r="G80" s="21" t="str">
        <f t="shared" si="6"/>
        <v/>
      </c>
      <c r="H80" s="21" t="str">
        <f t="shared" si="0"/>
        <v/>
      </c>
      <c r="J80" s="5"/>
      <c r="K80" s="29"/>
      <c r="M80" s="15">
        <f t="shared" si="7"/>
        <v>-212.07954023799795</v>
      </c>
      <c r="N80" s="15">
        <f t="shared" si="8"/>
        <v>212.07954023799795</v>
      </c>
      <c r="P80" s="9">
        <v>56</v>
      </c>
      <c r="Q80" s="20">
        <f t="shared" si="13"/>
        <v>0</v>
      </c>
      <c r="R80" s="20">
        <f t="shared" si="10"/>
        <v>0</v>
      </c>
      <c r="S80" s="5">
        <f t="shared" si="12"/>
        <v>0</v>
      </c>
      <c r="T80">
        <f>SUM($S$26:S81)</f>
        <v>0</v>
      </c>
    </row>
    <row r="81" spans="1:20" x14ac:dyDescent="0.2">
      <c r="A81" s="6"/>
      <c r="B81" s="7"/>
      <c r="C81" s="9" t="str">
        <f>IF(A81="","",A81)</f>
        <v/>
      </c>
      <c r="D81" s="24" t="str">
        <f t="shared" si="3"/>
        <v/>
      </c>
      <c r="E81" s="21" t="str">
        <f t="shared" si="4"/>
        <v/>
      </c>
      <c r="F81" s="21" t="str">
        <f t="shared" si="5"/>
        <v/>
      </c>
      <c r="G81" s="21" t="str">
        <f t="shared" si="6"/>
        <v/>
      </c>
      <c r="H81" s="21" t="str">
        <f t="shared" si="0"/>
        <v/>
      </c>
      <c r="J81" s="5"/>
      <c r="K81" s="29"/>
      <c r="M81" s="15">
        <f t="shared" si="7"/>
        <v>-212.07954023799795</v>
      </c>
      <c r="N81" s="15">
        <f t="shared" si="8"/>
        <v>212.07954023799795</v>
      </c>
      <c r="P81" s="9">
        <v>57</v>
      </c>
      <c r="Q81" s="20">
        <f t="shared" si="13"/>
        <v>0</v>
      </c>
      <c r="R81" s="20">
        <f t="shared" si="10"/>
        <v>0</v>
      </c>
      <c r="S81" s="5">
        <f t="shared" si="12"/>
        <v>0</v>
      </c>
      <c r="T81">
        <f>SUM($S$26:S82)</f>
        <v>0</v>
      </c>
    </row>
    <row r="82" spans="1:20" x14ac:dyDescent="0.2">
      <c r="A82" s="6"/>
      <c r="B82" s="7"/>
      <c r="C82" s="9" t="str">
        <f t="shared" si="2"/>
        <v/>
      </c>
      <c r="D82" s="24" t="str">
        <f t="shared" si="3"/>
        <v/>
      </c>
      <c r="E82" s="21" t="str">
        <f t="shared" si="4"/>
        <v/>
      </c>
      <c r="F82" s="21" t="str">
        <f t="shared" si="5"/>
        <v/>
      </c>
      <c r="G82" s="21" t="str">
        <f t="shared" si="6"/>
        <v/>
      </c>
      <c r="H82" s="21" t="str">
        <f t="shared" si="0"/>
        <v/>
      </c>
      <c r="J82" s="5"/>
      <c r="K82" s="29"/>
      <c r="M82" s="15">
        <f t="shared" si="7"/>
        <v>-212.07954023799795</v>
      </c>
      <c r="N82" s="15">
        <f t="shared" si="8"/>
        <v>212.07954023799795</v>
      </c>
      <c r="P82" s="9">
        <v>58</v>
      </c>
      <c r="Q82" s="20">
        <f t="shared" si="13"/>
        <v>0</v>
      </c>
      <c r="R82" s="20">
        <f t="shared" si="10"/>
        <v>0</v>
      </c>
      <c r="S82" s="5">
        <f t="shared" si="12"/>
        <v>0</v>
      </c>
      <c r="T82">
        <f>SUM($S$26:S83)</f>
        <v>0</v>
      </c>
    </row>
    <row r="83" spans="1:20" x14ac:dyDescent="0.2">
      <c r="A83" s="6"/>
      <c r="B83" s="7"/>
      <c r="C83" s="9" t="str">
        <f t="shared" si="2"/>
        <v/>
      </c>
      <c r="D83" s="24" t="str">
        <f t="shared" si="3"/>
        <v/>
      </c>
      <c r="E83" s="21" t="str">
        <f t="shared" si="4"/>
        <v/>
      </c>
      <c r="F83" s="21" t="str">
        <f t="shared" si="5"/>
        <v/>
      </c>
      <c r="G83" s="21" t="str">
        <f t="shared" si="6"/>
        <v/>
      </c>
      <c r="H83" s="21" t="str">
        <f t="shared" si="0"/>
        <v/>
      </c>
      <c r="J83" s="5"/>
      <c r="K83" s="29"/>
      <c r="M83" s="15">
        <f t="shared" si="7"/>
        <v>-212.07954023799795</v>
      </c>
      <c r="N83" s="15">
        <f t="shared" si="8"/>
        <v>212.07954023799795</v>
      </c>
      <c r="P83" s="9">
        <v>59</v>
      </c>
      <c r="Q83" s="20">
        <f t="shared" si="13"/>
        <v>0</v>
      </c>
      <c r="R83" s="20">
        <f t="shared" si="10"/>
        <v>0</v>
      </c>
      <c r="S83" s="5">
        <f t="shared" si="12"/>
        <v>0</v>
      </c>
      <c r="T83">
        <f>SUM($S$26:S84)</f>
        <v>0</v>
      </c>
    </row>
    <row r="84" spans="1:20" x14ac:dyDescent="0.2">
      <c r="A84" s="6"/>
      <c r="B84" s="7"/>
      <c r="C84" s="9" t="str">
        <f t="shared" si="2"/>
        <v/>
      </c>
      <c r="D84" s="24" t="str">
        <f t="shared" si="3"/>
        <v/>
      </c>
      <c r="E84" s="21" t="str">
        <f t="shared" si="4"/>
        <v/>
      </c>
      <c r="F84" s="21" t="str">
        <f t="shared" si="5"/>
        <v/>
      </c>
      <c r="G84" s="21" t="str">
        <f t="shared" si="6"/>
        <v/>
      </c>
      <c r="H84" s="21" t="str">
        <f t="shared" si="0"/>
        <v/>
      </c>
      <c r="J84" s="5"/>
      <c r="K84" s="29"/>
      <c r="M84" s="15">
        <f t="shared" si="7"/>
        <v>-212.07954023799795</v>
      </c>
      <c r="N84" s="15">
        <f t="shared" si="8"/>
        <v>212.07954023799795</v>
      </c>
      <c r="P84" s="9">
        <v>60</v>
      </c>
      <c r="Q84" s="20">
        <f t="shared" si="13"/>
        <v>0</v>
      </c>
      <c r="R84" s="20">
        <f t="shared" si="10"/>
        <v>0</v>
      </c>
      <c r="S84" s="5">
        <f t="shared" si="12"/>
        <v>0</v>
      </c>
      <c r="T84">
        <f>SUM($S$26:S85)</f>
        <v>0</v>
      </c>
    </row>
    <row r="85" spans="1:20" x14ac:dyDescent="0.2">
      <c r="A85" s="6"/>
      <c r="B85" s="7"/>
      <c r="C85" s="9" t="str">
        <f t="shared" si="2"/>
        <v/>
      </c>
      <c r="D85" s="24" t="str">
        <f t="shared" si="3"/>
        <v/>
      </c>
      <c r="E85" s="21" t="str">
        <f t="shared" si="4"/>
        <v/>
      </c>
      <c r="F85" s="21" t="str">
        <f t="shared" si="5"/>
        <v/>
      </c>
      <c r="G85" s="21" t="str">
        <f t="shared" si="6"/>
        <v/>
      </c>
      <c r="H85" s="21" t="str">
        <f t="shared" si="0"/>
        <v/>
      </c>
      <c r="J85" s="5"/>
      <c r="K85" s="29"/>
      <c r="M85" s="15">
        <f t="shared" si="7"/>
        <v>-212.07954023799795</v>
      </c>
      <c r="N85" s="15">
        <f t="shared" si="8"/>
        <v>212.07954023799795</v>
      </c>
      <c r="P85" s="9">
        <v>61</v>
      </c>
      <c r="Q85" s="20">
        <f t="shared" si="13"/>
        <v>0</v>
      </c>
      <c r="R85" s="20">
        <f t="shared" si="10"/>
        <v>0</v>
      </c>
      <c r="S85" s="5">
        <f t="shared" si="12"/>
        <v>0</v>
      </c>
      <c r="T85">
        <f>SUM($S$26:S86)</f>
        <v>0</v>
      </c>
    </row>
    <row r="86" spans="1:20" x14ac:dyDescent="0.2">
      <c r="A86" s="6"/>
      <c r="B86" s="7"/>
      <c r="C86" s="9" t="str">
        <f t="shared" si="2"/>
        <v/>
      </c>
      <c r="D86" s="24" t="str">
        <f t="shared" si="3"/>
        <v/>
      </c>
      <c r="E86" s="21" t="str">
        <f t="shared" si="4"/>
        <v/>
      </c>
      <c r="F86" s="21" t="str">
        <f t="shared" si="5"/>
        <v/>
      </c>
      <c r="G86" s="21" t="str">
        <f t="shared" si="6"/>
        <v/>
      </c>
      <c r="H86" s="21" t="str">
        <f t="shared" si="0"/>
        <v/>
      </c>
      <c r="J86" s="5"/>
      <c r="K86" s="29"/>
      <c r="M86" s="15">
        <f t="shared" si="7"/>
        <v>-212.07954023799795</v>
      </c>
      <c r="N86" s="15">
        <f t="shared" si="8"/>
        <v>212.07954023799795</v>
      </c>
      <c r="P86" s="9">
        <v>62</v>
      </c>
      <c r="Q86" s="20">
        <f t="shared" si="13"/>
        <v>0</v>
      </c>
      <c r="R86" s="20">
        <f t="shared" si="10"/>
        <v>0</v>
      </c>
      <c r="S86" s="5">
        <f t="shared" si="12"/>
        <v>0</v>
      </c>
      <c r="T86">
        <f>SUM($S$26:S87)</f>
        <v>0</v>
      </c>
    </row>
    <row r="87" spans="1:20" x14ac:dyDescent="0.2">
      <c r="A87" s="6"/>
      <c r="B87" s="7"/>
      <c r="C87" s="9" t="str">
        <f t="shared" si="2"/>
        <v/>
      </c>
      <c r="D87" s="24" t="str">
        <f t="shared" si="3"/>
        <v/>
      </c>
      <c r="E87" s="21" t="str">
        <f t="shared" si="4"/>
        <v/>
      </c>
      <c r="F87" s="21" t="str">
        <f t="shared" si="5"/>
        <v/>
      </c>
      <c r="G87" s="21" t="str">
        <f t="shared" si="6"/>
        <v/>
      </c>
      <c r="H87" s="21" t="str">
        <f t="shared" si="0"/>
        <v/>
      </c>
      <c r="J87" s="5"/>
      <c r="K87" s="29"/>
      <c r="M87" s="15">
        <f t="shared" si="7"/>
        <v>-212.07954023799795</v>
      </c>
      <c r="N87" s="15">
        <f t="shared" si="8"/>
        <v>212.07954023799795</v>
      </c>
      <c r="P87" s="9">
        <v>63</v>
      </c>
      <c r="Q87" s="20">
        <f t="shared" si="13"/>
        <v>0</v>
      </c>
      <c r="R87" s="20">
        <f t="shared" si="10"/>
        <v>0</v>
      </c>
      <c r="S87" s="5">
        <f t="shared" si="12"/>
        <v>0</v>
      </c>
      <c r="T87">
        <f>SUM($S$26:S88)</f>
        <v>0</v>
      </c>
    </row>
    <row r="88" spans="1:20" x14ac:dyDescent="0.2">
      <c r="A88" s="6"/>
      <c r="B88" s="7"/>
      <c r="C88" s="9" t="str">
        <f t="shared" si="2"/>
        <v/>
      </c>
      <c r="D88" s="24" t="str">
        <f t="shared" si="3"/>
        <v/>
      </c>
      <c r="E88" s="21" t="str">
        <f t="shared" si="4"/>
        <v/>
      </c>
      <c r="F88" s="21" t="str">
        <f t="shared" si="5"/>
        <v/>
      </c>
      <c r="G88" s="21" t="str">
        <f t="shared" si="6"/>
        <v/>
      </c>
      <c r="H88" s="21" t="str">
        <f t="shared" si="0"/>
        <v/>
      </c>
      <c r="J88" s="5"/>
      <c r="K88" s="29"/>
      <c r="M88" s="15">
        <f t="shared" si="7"/>
        <v>-212.07954023799795</v>
      </c>
      <c r="N88" s="15">
        <f t="shared" si="8"/>
        <v>212.07954023799795</v>
      </c>
      <c r="P88" s="9">
        <v>64</v>
      </c>
      <c r="Q88" s="20">
        <f t="shared" si="13"/>
        <v>0</v>
      </c>
      <c r="R88" s="20">
        <f t="shared" si="10"/>
        <v>0</v>
      </c>
      <c r="S88" s="5">
        <f t="shared" si="12"/>
        <v>0</v>
      </c>
      <c r="T88">
        <f>SUM($S$26:S89)</f>
        <v>0</v>
      </c>
    </row>
    <row r="89" spans="1:20" x14ac:dyDescent="0.2">
      <c r="A89" s="6"/>
      <c r="B89" s="7"/>
      <c r="C89" s="9" t="str">
        <f t="shared" si="2"/>
        <v/>
      </c>
      <c r="D89" s="24" t="str">
        <f t="shared" si="3"/>
        <v/>
      </c>
      <c r="E89" s="21" t="str">
        <f t="shared" si="4"/>
        <v/>
      </c>
      <c r="F89" s="21" t="str">
        <f t="shared" si="5"/>
        <v/>
      </c>
      <c r="G89" s="21" t="str">
        <f t="shared" si="6"/>
        <v/>
      </c>
      <c r="H89" s="21" t="str">
        <f t="shared" ref="H89:H120" si="14">IF(A89="","",IF(B89="",NA(),G89^2))</f>
        <v/>
      </c>
      <c r="J89" s="5"/>
      <c r="K89" s="29"/>
      <c r="M89" s="15">
        <f t="shared" si="7"/>
        <v>-212.07954023799795</v>
      </c>
      <c r="N89" s="15">
        <f t="shared" si="8"/>
        <v>212.07954023799795</v>
      </c>
      <c r="P89" s="9">
        <v>65</v>
      </c>
      <c r="Q89" s="20">
        <f t="shared" si="13"/>
        <v>0</v>
      </c>
      <c r="R89" s="20">
        <f t="shared" si="10"/>
        <v>0</v>
      </c>
      <c r="S89" s="5">
        <f t="shared" ref="S89:S120" si="15">IF(C89&gt;$C$15,0,IF(ABS(G89)&gt;=$I$3,1,0))</f>
        <v>0</v>
      </c>
      <c r="T89">
        <f>SUM($S$26:S90)</f>
        <v>0</v>
      </c>
    </row>
    <row r="90" spans="1:20" x14ac:dyDescent="0.2">
      <c r="A90" s="6"/>
      <c r="B90" s="7"/>
      <c r="C90" s="9" t="str">
        <f t="shared" ref="C90:C109" si="16">IF(A90="","",A90)</f>
        <v/>
      </c>
      <c r="D90" s="24" t="str">
        <f t="shared" ref="D90" si="17">IF(A90="","",IF(B90="",NA(),LN(B90)))</f>
        <v/>
      </c>
      <c r="E90" s="21" t="str">
        <f t="shared" ref="E90:E99" si="18">IF(A90="","",$N$17+$N$18*C90)</f>
        <v/>
      </c>
      <c r="F90" s="21" t="str">
        <f t="shared" ref="F90:F120" si="19">IF(A90="","",EXP(E90))</f>
        <v/>
      </c>
      <c r="G90" s="21" t="str">
        <f t="shared" ref="G90:G120" si="20">IF(A90="","",IF(B90="",NA(),B90-F90))</f>
        <v/>
      </c>
      <c r="H90" s="21" t="str">
        <f t="shared" si="14"/>
        <v/>
      </c>
      <c r="J90" s="5"/>
      <c r="K90" s="29"/>
      <c r="M90" s="15">
        <f t="shared" ref="M90:M120" si="21">-$I$3</f>
        <v>-212.07954023799795</v>
      </c>
      <c r="N90" s="15">
        <f t="shared" ref="N90:N120" si="22">$I$3</f>
        <v>212.07954023799795</v>
      </c>
      <c r="P90" s="9">
        <v>66</v>
      </c>
      <c r="Q90" s="20">
        <f t="shared" si="13"/>
        <v>0</v>
      </c>
      <c r="R90" s="20">
        <f t="shared" si="10"/>
        <v>0</v>
      </c>
      <c r="S90" s="5">
        <f t="shared" si="15"/>
        <v>0</v>
      </c>
      <c r="T90">
        <f>SUM($S$26:S91)</f>
        <v>0</v>
      </c>
    </row>
    <row r="91" spans="1:20" x14ac:dyDescent="0.2">
      <c r="A91" s="6"/>
      <c r="B91" s="7"/>
      <c r="C91" s="9" t="str">
        <f t="shared" si="16"/>
        <v/>
      </c>
      <c r="D91" s="24" t="str">
        <f>IF(A91="","",IF(B91="",NA(),LN(B91)))</f>
        <v/>
      </c>
      <c r="E91" s="21" t="str">
        <f t="shared" si="18"/>
        <v/>
      </c>
      <c r="F91" s="21" t="str">
        <f t="shared" si="19"/>
        <v/>
      </c>
      <c r="G91" s="21" t="str">
        <f t="shared" si="20"/>
        <v/>
      </c>
      <c r="H91" s="21" t="str">
        <f t="shared" si="14"/>
        <v/>
      </c>
      <c r="J91" s="5"/>
      <c r="K91" s="29"/>
      <c r="M91" s="15">
        <f t="shared" si="21"/>
        <v>-212.07954023799795</v>
      </c>
      <c r="N91" s="15">
        <f t="shared" si="22"/>
        <v>212.07954023799795</v>
      </c>
      <c r="P91" s="9">
        <v>67</v>
      </c>
      <c r="Q91" s="20">
        <f t="shared" si="13"/>
        <v>0</v>
      </c>
      <c r="R91" s="20">
        <f t="shared" ref="R91:R120" si="23">IF(B91="",0,+R90+G91^2)</f>
        <v>0</v>
      </c>
      <c r="S91" s="5">
        <f t="shared" si="15"/>
        <v>0</v>
      </c>
      <c r="T91">
        <f>SUM($S$26:S92)</f>
        <v>0</v>
      </c>
    </row>
    <row r="92" spans="1:20" x14ac:dyDescent="0.2">
      <c r="A92" s="6"/>
      <c r="B92" s="7"/>
      <c r="C92" s="9" t="str">
        <f t="shared" si="16"/>
        <v/>
      </c>
      <c r="D92" s="24" t="str">
        <f t="shared" ref="D92:D108" si="24">IF(A92="","",IF(B92="",NA(),LN(B92)))</f>
        <v/>
      </c>
      <c r="E92" s="21" t="str">
        <f t="shared" si="18"/>
        <v/>
      </c>
      <c r="F92" s="21" t="str">
        <f t="shared" si="19"/>
        <v/>
      </c>
      <c r="G92" s="21" t="str">
        <f t="shared" si="20"/>
        <v/>
      </c>
      <c r="H92" s="21" t="str">
        <f t="shared" si="14"/>
        <v/>
      </c>
      <c r="J92" s="5"/>
      <c r="K92" s="29"/>
      <c r="M92" s="15">
        <f t="shared" si="21"/>
        <v>-212.07954023799795</v>
      </c>
      <c r="N92" s="15">
        <f t="shared" si="22"/>
        <v>212.07954023799795</v>
      </c>
      <c r="P92" s="9">
        <v>68</v>
      </c>
      <c r="Q92" s="20">
        <f t="shared" si="13"/>
        <v>0</v>
      </c>
      <c r="R92" s="20">
        <f t="shared" si="23"/>
        <v>0</v>
      </c>
      <c r="S92" s="5">
        <f t="shared" si="15"/>
        <v>0</v>
      </c>
      <c r="T92">
        <f>SUM($S$26:S93)</f>
        <v>0</v>
      </c>
    </row>
    <row r="93" spans="1:20" x14ac:dyDescent="0.2">
      <c r="A93" s="6"/>
      <c r="B93" s="7"/>
      <c r="C93" s="9" t="str">
        <f t="shared" si="16"/>
        <v/>
      </c>
      <c r="D93" s="24" t="str">
        <f t="shared" si="24"/>
        <v/>
      </c>
      <c r="E93" s="21" t="str">
        <f t="shared" si="18"/>
        <v/>
      </c>
      <c r="F93" s="21" t="str">
        <f t="shared" si="19"/>
        <v/>
      </c>
      <c r="G93" s="21" t="str">
        <f t="shared" si="20"/>
        <v/>
      </c>
      <c r="H93" s="21" t="str">
        <f t="shared" si="14"/>
        <v/>
      </c>
      <c r="J93" s="5"/>
      <c r="K93" s="29"/>
      <c r="M93" s="15">
        <f t="shared" si="21"/>
        <v>-212.07954023799795</v>
      </c>
      <c r="N93" s="15">
        <f t="shared" si="22"/>
        <v>212.07954023799795</v>
      </c>
      <c r="P93" s="9">
        <v>69</v>
      </c>
      <c r="Q93" s="20">
        <f t="shared" si="13"/>
        <v>0</v>
      </c>
      <c r="R93" s="20">
        <f t="shared" si="23"/>
        <v>0</v>
      </c>
      <c r="S93" s="5">
        <f t="shared" si="15"/>
        <v>0</v>
      </c>
      <c r="T93">
        <f>SUM($S$26:S94)</f>
        <v>0</v>
      </c>
    </row>
    <row r="94" spans="1:20" x14ac:dyDescent="0.2">
      <c r="A94" s="6"/>
      <c r="B94" s="7"/>
      <c r="C94" s="9" t="str">
        <f t="shared" si="16"/>
        <v/>
      </c>
      <c r="D94" s="24" t="str">
        <f t="shared" si="24"/>
        <v/>
      </c>
      <c r="E94" s="21" t="str">
        <f t="shared" si="18"/>
        <v/>
      </c>
      <c r="F94" s="21" t="str">
        <f t="shared" si="19"/>
        <v/>
      </c>
      <c r="G94" s="21" t="str">
        <f t="shared" si="20"/>
        <v/>
      </c>
      <c r="H94" s="21" t="str">
        <f t="shared" si="14"/>
        <v/>
      </c>
      <c r="J94" s="5"/>
      <c r="K94" s="29"/>
      <c r="M94" s="15">
        <f t="shared" si="21"/>
        <v>-212.07954023799795</v>
      </c>
      <c r="N94" s="15">
        <f t="shared" si="22"/>
        <v>212.07954023799795</v>
      </c>
      <c r="P94" s="9">
        <v>70</v>
      </c>
      <c r="Q94" s="20">
        <f t="shared" si="13"/>
        <v>0</v>
      </c>
      <c r="R94" s="20">
        <f t="shared" si="23"/>
        <v>0</v>
      </c>
      <c r="S94" s="5">
        <f t="shared" si="15"/>
        <v>0</v>
      </c>
      <c r="T94">
        <f>SUM($S$26:S95)</f>
        <v>0</v>
      </c>
    </row>
    <row r="95" spans="1:20" x14ac:dyDescent="0.2">
      <c r="A95" s="6"/>
      <c r="B95" s="7"/>
      <c r="C95" s="9" t="str">
        <f t="shared" si="16"/>
        <v/>
      </c>
      <c r="D95" s="24" t="str">
        <f t="shared" si="24"/>
        <v/>
      </c>
      <c r="E95" s="21" t="str">
        <f t="shared" si="18"/>
        <v/>
      </c>
      <c r="F95" s="21" t="str">
        <f t="shared" si="19"/>
        <v/>
      </c>
      <c r="G95" s="21" t="str">
        <f t="shared" si="20"/>
        <v/>
      </c>
      <c r="H95" s="21" t="str">
        <f t="shared" si="14"/>
        <v/>
      </c>
      <c r="J95" s="5"/>
      <c r="K95" s="29"/>
      <c r="M95" s="15">
        <f t="shared" si="21"/>
        <v>-212.07954023799795</v>
      </c>
      <c r="N95" s="15">
        <f t="shared" si="22"/>
        <v>212.07954023799795</v>
      </c>
      <c r="P95" s="9">
        <v>71</v>
      </c>
      <c r="Q95" s="20">
        <f t="shared" si="13"/>
        <v>0</v>
      </c>
      <c r="R95" s="20">
        <f t="shared" si="23"/>
        <v>0</v>
      </c>
      <c r="S95" s="5">
        <f t="shared" si="15"/>
        <v>0</v>
      </c>
      <c r="T95">
        <f>SUM($S$26:S96)</f>
        <v>0</v>
      </c>
    </row>
    <row r="96" spans="1:20" x14ac:dyDescent="0.2">
      <c r="A96" s="6"/>
      <c r="B96" s="7"/>
      <c r="C96" s="9" t="str">
        <f t="shared" si="16"/>
        <v/>
      </c>
      <c r="D96" s="24" t="str">
        <f t="shared" si="24"/>
        <v/>
      </c>
      <c r="E96" s="21" t="str">
        <f t="shared" si="18"/>
        <v/>
      </c>
      <c r="F96" s="21" t="str">
        <f t="shared" si="19"/>
        <v/>
      </c>
      <c r="G96" s="21" t="str">
        <f t="shared" si="20"/>
        <v/>
      </c>
      <c r="H96" s="21" t="str">
        <f t="shared" si="14"/>
        <v/>
      </c>
      <c r="J96" s="5"/>
      <c r="K96" s="29"/>
      <c r="M96" s="15">
        <f t="shared" si="21"/>
        <v>-212.07954023799795</v>
      </c>
      <c r="N96" s="15">
        <f t="shared" si="22"/>
        <v>212.07954023799795</v>
      </c>
      <c r="P96" s="9">
        <v>72</v>
      </c>
      <c r="Q96" s="20">
        <f t="shared" si="13"/>
        <v>0</v>
      </c>
      <c r="R96" s="20">
        <f t="shared" si="23"/>
        <v>0</v>
      </c>
      <c r="S96" s="5">
        <f t="shared" si="15"/>
        <v>0</v>
      </c>
      <c r="T96">
        <f>SUM($S$26:S97)</f>
        <v>0</v>
      </c>
    </row>
    <row r="97" spans="1:20" x14ac:dyDescent="0.2">
      <c r="A97" s="6"/>
      <c r="B97" s="7"/>
      <c r="C97" s="9" t="str">
        <f t="shared" si="16"/>
        <v/>
      </c>
      <c r="D97" s="24" t="str">
        <f t="shared" si="24"/>
        <v/>
      </c>
      <c r="E97" s="21" t="str">
        <f t="shared" si="18"/>
        <v/>
      </c>
      <c r="F97" s="21" t="str">
        <f t="shared" si="19"/>
        <v/>
      </c>
      <c r="G97" s="21" t="str">
        <f t="shared" si="20"/>
        <v/>
      </c>
      <c r="H97" s="21" t="str">
        <f t="shared" si="14"/>
        <v/>
      </c>
      <c r="J97" s="5"/>
      <c r="K97" s="29"/>
      <c r="M97" s="15">
        <f t="shared" si="21"/>
        <v>-212.07954023799795</v>
      </c>
      <c r="N97" s="15">
        <f t="shared" si="22"/>
        <v>212.07954023799795</v>
      </c>
      <c r="P97" s="9">
        <v>73</v>
      </c>
      <c r="Q97" s="20">
        <f t="shared" si="13"/>
        <v>0</v>
      </c>
      <c r="R97" s="20">
        <f t="shared" si="23"/>
        <v>0</v>
      </c>
      <c r="S97" s="5">
        <f t="shared" si="15"/>
        <v>0</v>
      </c>
      <c r="T97">
        <f>SUM($S$26:S98)</f>
        <v>0</v>
      </c>
    </row>
    <row r="98" spans="1:20" x14ac:dyDescent="0.2">
      <c r="A98" s="6"/>
      <c r="B98" s="7"/>
      <c r="C98" s="9" t="str">
        <f t="shared" si="16"/>
        <v/>
      </c>
      <c r="D98" s="24" t="str">
        <f t="shared" si="24"/>
        <v/>
      </c>
      <c r="E98" s="21" t="str">
        <f t="shared" si="18"/>
        <v/>
      </c>
      <c r="F98" s="21" t="str">
        <f t="shared" si="19"/>
        <v/>
      </c>
      <c r="G98" s="21" t="str">
        <f t="shared" si="20"/>
        <v/>
      </c>
      <c r="H98" s="21" t="str">
        <f t="shared" si="14"/>
        <v/>
      </c>
      <c r="J98" s="5"/>
      <c r="K98" s="29"/>
      <c r="M98" s="15">
        <f t="shared" si="21"/>
        <v>-212.07954023799795</v>
      </c>
      <c r="N98" s="15">
        <f t="shared" si="22"/>
        <v>212.07954023799795</v>
      </c>
      <c r="P98" s="9">
        <v>74</v>
      </c>
      <c r="Q98" s="20">
        <f t="shared" ref="Q98:Q120" si="25">IF(C98&gt;$C$15,0,+Q97+ABS(G98))</f>
        <v>0</v>
      </c>
      <c r="R98" s="20">
        <f t="shared" si="23"/>
        <v>0</v>
      </c>
      <c r="S98" s="5">
        <f t="shared" si="15"/>
        <v>0</v>
      </c>
      <c r="T98">
        <f>SUM($S$26:S99)</f>
        <v>0</v>
      </c>
    </row>
    <row r="99" spans="1:20" x14ac:dyDescent="0.2">
      <c r="A99" s="6"/>
      <c r="B99" s="7"/>
      <c r="C99" s="9" t="str">
        <f t="shared" si="16"/>
        <v/>
      </c>
      <c r="D99" s="24" t="str">
        <f t="shared" si="24"/>
        <v/>
      </c>
      <c r="E99" s="21" t="str">
        <f t="shared" si="18"/>
        <v/>
      </c>
      <c r="F99" s="21" t="str">
        <f t="shared" si="19"/>
        <v/>
      </c>
      <c r="G99" s="21" t="str">
        <f t="shared" si="20"/>
        <v/>
      </c>
      <c r="H99" s="21" t="str">
        <f t="shared" si="14"/>
        <v/>
      </c>
      <c r="J99" s="5"/>
      <c r="K99" s="29"/>
      <c r="M99" s="15">
        <f t="shared" si="21"/>
        <v>-212.07954023799795</v>
      </c>
      <c r="N99" s="15">
        <f t="shared" si="22"/>
        <v>212.07954023799795</v>
      </c>
      <c r="P99" s="9">
        <v>75</v>
      </c>
      <c r="Q99" s="20">
        <f t="shared" si="25"/>
        <v>0</v>
      </c>
      <c r="R99" s="20">
        <f t="shared" si="23"/>
        <v>0</v>
      </c>
      <c r="S99" s="5">
        <f t="shared" si="15"/>
        <v>0</v>
      </c>
      <c r="T99">
        <f>SUM($S$26:S100)</f>
        <v>0</v>
      </c>
    </row>
    <row r="100" spans="1:20" x14ac:dyDescent="0.2">
      <c r="A100" s="6"/>
      <c r="B100" s="7"/>
      <c r="C100" s="9" t="str">
        <f t="shared" si="16"/>
        <v/>
      </c>
      <c r="D100" s="24" t="str">
        <f t="shared" si="24"/>
        <v/>
      </c>
      <c r="E100" s="21" t="str">
        <f>IF(A100="","",$N$17+$N$18*C100)</f>
        <v/>
      </c>
      <c r="F100" s="21" t="str">
        <f t="shared" si="19"/>
        <v/>
      </c>
      <c r="G100" s="21" t="str">
        <f t="shared" si="20"/>
        <v/>
      </c>
      <c r="H100" s="21" t="str">
        <f t="shared" si="14"/>
        <v/>
      </c>
      <c r="J100" s="5"/>
      <c r="K100" s="29"/>
      <c r="M100" s="15">
        <f t="shared" si="21"/>
        <v>-212.07954023799795</v>
      </c>
      <c r="N100" s="15">
        <f t="shared" si="22"/>
        <v>212.07954023799795</v>
      </c>
      <c r="P100" s="9">
        <v>76</v>
      </c>
      <c r="Q100" s="20">
        <f t="shared" si="25"/>
        <v>0</v>
      </c>
      <c r="R100" s="20">
        <f t="shared" si="23"/>
        <v>0</v>
      </c>
      <c r="S100" s="5">
        <f t="shared" si="15"/>
        <v>0</v>
      </c>
      <c r="T100">
        <f>SUM($S$26:S101)</f>
        <v>0</v>
      </c>
    </row>
    <row r="101" spans="1:20" x14ac:dyDescent="0.2">
      <c r="A101" s="6"/>
      <c r="B101" s="7"/>
      <c r="C101" s="9" t="str">
        <f t="shared" si="16"/>
        <v/>
      </c>
      <c r="D101" s="24" t="str">
        <f t="shared" si="24"/>
        <v/>
      </c>
      <c r="E101" s="21" t="str">
        <f t="shared" ref="E101:E120" si="26">IF(A101="","",$N$17+$N$18*C101)</f>
        <v/>
      </c>
      <c r="F101" s="21" t="str">
        <f t="shared" si="19"/>
        <v/>
      </c>
      <c r="G101" s="21" t="str">
        <f t="shared" si="20"/>
        <v/>
      </c>
      <c r="H101" s="21" t="str">
        <f t="shared" si="14"/>
        <v/>
      </c>
      <c r="J101" s="5"/>
      <c r="K101" s="29"/>
      <c r="M101" s="15">
        <f t="shared" si="21"/>
        <v>-212.07954023799795</v>
      </c>
      <c r="N101" s="15">
        <f t="shared" si="22"/>
        <v>212.07954023799795</v>
      </c>
      <c r="P101" s="9">
        <v>77</v>
      </c>
      <c r="Q101" s="20">
        <f t="shared" si="25"/>
        <v>0</v>
      </c>
      <c r="R101" s="20">
        <f t="shared" si="23"/>
        <v>0</v>
      </c>
      <c r="S101" s="5">
        <f t="shared" si="15"/>
        <v>0</v>
      </c>
      <c r="T101">
        <f>SUM($S$26:S102)</f>
        <v>0</v>
      </c>
    </row>
    <row r="102" spans="1:20" x14ac:dyDescent="0.2">
      <c r="A102" s="6"/>
      <c r="B102" s="7"/>
      <c r="C102" s="9" t="str">
        <f t="shared" si="16"/>
        <v/>
      </c>
      <c r="D102" s="24" t="str">
        <f t="shared" si="24"/>
        <v/>
      </c>
      <c r="E102" s="21" t="str">
        <f t="shared" si="26"/>
        <v/>
      </c>
      <c r="F102" s="21" t="str">
        <f t="shared" si="19"/>
        <v/>
      </c>
      <c r="G102" s="21" t="str">
        <f t="shared" si="20"/>
        <v/>
      </c>
      <c r="H102" s="21" t="str">
        <f t="shared" si="14"/>
        <v/>
      </c>
      <c r="J102" s="5"/>
      <c r="K102" s="29"/>
      <c r="M102" s="15">
        <f t="shared" si="21"/>
        <v>-212.07954023799795</v>
      </c>
      <c r="N102" s="15">
        <f t="shared" si="22"/>
        <v>212.07954023799795</v>
      </c>
      <c r="P102" s="9">
        <v>78</v>
      </c>
      <c r="Q102" s="20">
        <f t="shared" si="25"/>
        <v>0</v>
      </c>
      <c r="R102" s="20">
        <f t="shared" si="23"/>
        <v>0</v>
      </c>
      <c r="S102" s="5">
        <f t="shared" si="15"/>
        <v>0</v>
      </c>
      <c r="T102">
        <f>SUM($S$26:S103)</f>
        <v>0</v>
      </c>
    </row>
    <row r="103" spans="1:20" x14ac:dyDescent="0.2">
      <c r="A103" s="6"/>
      <c r="B103" s="7"/>
      <c r="C103" s="9" t="str">
        <f t="shared" si="16"/>
        <v/>
      </c>
      <c r="D103" s="24" t="str">
        <f t="shared" si="24"/>
        <v/>
      </c>
      <c r="E103" s="21" t="str">
        <f t="shared" si="26"/>
        <v/>
      </c>
      <c r="F103" s="21" t="str">
        <f t="shared" si="19"/>
        <v/>
      </c>
      <c r="G103" s="21" t="str">
        <f t="shared" si="20"/>
        <v/>
      </c>
      <c r="H103" s="21" t="str">
        <f t="shared" si="14"/>
        <v/>
      </c>
      <c r="J103" s="5"/>
      <c r="K103" s="29"/>
      <c r="M103" s="15">
        <f t="shared" si="21"/>
        <v>-212.07954023799795</v>
      </c>
      <c r="N103" s="15">
        <f t="shared" si="22"/>
        <v>212.07954023799795</v>
      </c>
      <c r="P103" s="9">
        <v>79</v>
      </c>
      <c r="Q103" s="20">
        <f t="shared" si="25"/>
        <v>0</v>
      </c>
      <c r="R103" s="20">
        <f t="shared" si="23"/>
        <v>0</v>
      </c>
      <c r="S103" s="5">
        <f t="shared" si="15"/>
        <v>0</v>
      </c>
      <c r="T103">
        <f>SUM($S$26:S104)</f>
        <v>0</v>
      </c>
    </row>
    <row r="104" spans="1:20" x14ac:dyDescent="0.2">
      <c r="A104" s="6"/>
      <c r="B104" s="7"/>
      <c r="C104" s="9" t="str">
        <f t="shared" si="16"/>
        <v/>
      </c>
      <c r="D104" s="24" t="str">
        <f t="shared" si="24"/>
        <v/>
      </c>
      <c r="E104" s="21" t="str">
        <f t="shared" si="26"/>
        <v/>
      </c>
      <c r="F104" s="21" t="str">
        <f t="shared" si="19"/>
        <v/>
      </c>
      <c r="G104" s="21" t="str">
        <f t="shared" si="20"/>
        <v/>
      </c>
      <c r="H104" s="21" t="str">
        <f t="shared" si="14"/>
        <v/>
      </c>
      <c r="J104" s="5"/>
      <c r="K104" s="29"/>
      <c r="M104" s="15">
        <f t="shared" si="21"/>
        <v>-212.07954023799795</v>
      </c>
      <c r="N104" s="15">
        <f t="shared" si="22"/>
        <v>212.07954023799795</v>
      </c>
      <c r="P104" s="9">
        <v>80</v>
      </c>
      <c r="Q104" s="20">
        <f t="shared" si="25"/>
        <v>0</v>
      </c>
      <c r="R104" s="20">
        <f t="shared" si="23"/>
        <v>0</v>
      </c>
      <c r="S104" s="5">
        <f t="shared" si="15"/>
        <v>0</v>
      </c>
      <c r="T104">
        <f>SUM($S$26:S105)</f>
        <v>0</v>
      </c>
    </row>
    <row r="105" spans="1:20" x14ac:dyDescent="0.2">
      <c r="A105" s="6"/>
      <c r="B105" s="7"/>
      <c r="C105" s="9" t="str">
        <f t="shared" si="16"/>
        <v/>
      </c>
      <c r="D105" s="24" t="str">
        <f t="shared" si="24"/>
        <v/>
      </c>
      <c r="E105" s="21" t="str">
        <f t="shared" si="26"/>
        <v/>
      </c>
      <c r="F105" s="21" t="str">
        <f t="shared" si="19"/>
        <v/>
      </c>
      <c r="G105" s="21" t="str">
        <f t="shared" si="20"/>
        <v/>
      </c>
      <c r="H105" s="21" t="str">
        <f t="shared" si="14"/>
        <v/>
      </c>
      <c r="J105" s="5"/>
      <c r="K105" s="29"/>
      <c r="M105" s="15">
        <f t="shared" si="21"/>
        <v>-212.07954023799795</v>
      </c>
      <c r="N105" s="15">
        <f t="shared" si="22"/>
        <v>212.07954023799795</v>
      </c>
      <c r="P105" s="9">
        <v>81</v>
      </c>
      <c r="Q105" s="20">
        <f t="shared" si="25"/>
        <v>0</v>
      </c>
      <c r="R105" s="20">
        <f t="shared" si="23"/>
        <v>0</v>
      </c>
      <c r="S105" s="5">
        <f t="shared" si="15"/>
        <v>0</v>
      </c>
      <c r="T105">
        <f>SUM($S$26:S106)</f>
        <v>0</v>
      </c>
    </row>
    <row r="106" spans="1:20" x14ac:dyDescent="0.2">
      <c r="A106" s="6"/>
      <c r="B106" s="7"/>
      <c r="C106" s="9" t="str">
        <f t="shared" si="16"/>
        <v/>
      </c>
      <c r="D106" s="24" t="str">
        <f t="shared" si="24"/>
        <v/>
      </c>
      <c r="E106" s="21" t="str">
        <f t="shared" si="26"/>
        <v/>
      </c>
      <c r="F106" s="21" t="str">
        <f t="shared" si="19"/>
        <v/>
      </c>
      <c r="G106" s="21" t="str">
        <f t="shared" si="20"/>
        <v/>
      </c>
      <c r="H106" s="21" t="str">
        <f t="shared" si="14"/>
        <v/>
      </c>
      <c r="J106" s="5"/>
      <c r="K106" s="29"/>
      <c r="M106" s="15">
        <f t="shared" si="21"/>
        <v>-212.07954023799795</v>
      </c>
      <c r="N106" s="15">
        <f t="shared" si="22"/>
        <v>212.07954023799795</v>
      </c>
      <c r="P106" s="9">
        <v>82</v>
      </c>
      <c r="Q106" s="20">
        <f t="shared" si="25"/>
        <v>0</v>
      </c>
      <c r="R106" s="20">
        <f t="shared" si="23"/>
        <v>0</v>
      </c>
      <c r="S106" s="5">
        <f t="shared" si="15"/>
        <v>0</v>
      </c>
      <c r="T106">
        <f>SUM($S$26:S107)</f>
        <v>0</v>
      </c>
    </row>
    <row r="107" spans="1:20" x14ac:dyDescent="0.2">
      <c r="A107" s="6"/>
      <c r="B107" s="7"/>
      <c r="C107" s="9" t="str">
        <f t="shared" si="16"/>
        <v/>
      </c>
      <c r="D107" s="24" t="str">
        <f t="shared" si="24"/>
        <v/>
      </c>
      <c r="E107" s="21" t="str">
        <f t="shared" si="26"/>
        <v/>
      </c>
      <c r="F107" s="21" t="str">
        <f t="shared" si="19"/>
        <v/>
      </c>
      <c r="G107" s="21" t="str">
        <f t="shared" si="20"/>
        <v/>
      </c>
      <c r="H107" s="21" t="str">
        <f t="shared" si="14"/>
        <v/>
      </c>
      <c r="J107" s="5"/>
      <c r="K107" s="29"/>
      <c r="M107" s="15">
        <f t="shared" si="21"/>
        <v>-212.07954023799795</v>
      </c>
      <c r="N107" s="15">
        <f t="shared" si="22"/>
        <v>212.07954023799795</v>
      </c>
      <c r="P107" s="9">
        <v>83</v>
      </c>
      <c r="Q107" s="20">
        <f t="shared" si="25"/>
        <v>0</v>
      </c>
      <c r="R107" s="20">
        <f t="shared" si="23"/>
        <v>0</v>
      </c>
      <c r="S107" s="5">
        <f t="shared" si="15"/>
        <v>0</v>
      </c>
      <c r="T107">
        <f>SUM($S$26:S108)</f>
        <v>0</v>
      </c>
    </row>
    <row r="108" spans="1:20" x14ac:dyDescent="0.2">
      <c r="A108" s="6"/>
      <c r="B108" s="7"/>
      <c r="C108" s="9" t="str">
        <f t="shared" si="16"/>
        <v/>
      </c>
      <c r="D108" s="24" t="str">
        <f t="shared" si="24"/>
        <v/>
      </c>
      <c r="E108" s="21" t="str">
        <f t="shared" si="26"/>
        <v/>
      </c>
      <c r="F108" s="21" t="str">
        <f t="shared" si="19"/>
        <v/>
      </c>
      <c r="G108" s="21" t="str">
        <f t="shared" si="20"/>
        <v/>
      </c>
      <c r="H108" s="21" t="str">
        <f t="shared" si="14"/>
        <v/>
      </c>
      <c r="J108" s="5"/>
      <c r="K108" s="29"/>
      <c r="M108" s="15">
        <f t="shared" si="21"/>
        <v>-212.07954023799795</v>
      </c>
      <c r="N108" s="15">
        <f t="shared" si="22"/>
        <v>212.07954023799795</v>
      </c>
      <c r="P108" s="9">
        <v>84</v>
      </c>
      <c r="Q108" s="20">
        <f t="shared" si="25"/>
        <v>0</v>
      </c>
      <c r="R108" s="20">
        <f t="shared" si="23"/>
        <v>0</v>
      </c>
      <c r="S108" s="5">
        <f t="shared" si="15"/>
        <v>0</v>
      </c>
      <c r="T108">
        <f>SUM($S$26:S109)</f>
        <v>0</v>
      </c>
    </row>
    <row r="109" spans="1:20" x14ac:dyDescent="0.2">
      <c r="A109" s="6"/>
      <c r="B109" s="7"/>
      <c r="C109" s="9" t="str">
        <f t="shared" si="16"/>
        <v/>
      </c>
      <c r="D109" s="24" t="str">
        <f>IF(A109="","",IF(B109="",NA(),LN(B109)))</f>
        <v/>
      </c>
      <c r="E109" s="21" t="str">
        <f t="shared" si="26"/>
        <v/>
      </c>
      <c r="F109" s="21" t="str">
        <f t="shared" si="19"/>
        <v/>
      </c>
      <c r="G109" s="21" t="str">
        <f t="shared" si="20"/>
        <v/>
      </c>
      <c r="H109" s="21" t="str">
        <f t="shared" si="14"/>
        <v/>
      </c>
      <c r="J109" s="5"/>
      <c r="K109" s="29"/>
      <c r="M109" s="15">
        <f t="shared" si="21"/>
        <v>-212.07954023799795</v>
      </c>
      <c r="N109" s="15">
        <f t="shared" si="22"/>
        <v>212.07954023799795</v>
      </c>
      <c r="P109" s="9">
        <v>85</v>
      </c>
      <c r="Q109" s="20">
        <f t="shared" si="25"/>
        <v>0</v>
      </c>
      <c r="R109" s="20">
        <f t="shared" si="23"/>
        <v>0</v>
      </c>
      <c r="S109" s="5">
        <f t="shared" si="15"/>
        <v>0</v>
      </c>
      <c r="T109">
        <f>SUM($S$26:S110)</f>
        <v>0</v>
      </c>
    </row>
    <row r="110" spans="1:20" x14ac:dyDescent="0.2">
      <c r="A110" s="6"/>
      <c r="B110" s="7"/>
      <c r="C110" s="9" t="str">
        <f>IF(A110="","",A110)</f>
        <v/>
      </c>
      <c r="D110" s="24" t="str">
        <f t="shared" ref="D110:D120" si="27">IF(A110="","",IF(B110="",NA(),LN(B110)))</f>
        <v/>
      </c>
      <c r="E110" s="21" t="str">
        <f t="shared" si="26"/>
        <v/>
      </c>
      <c r="F110" s="21" t="str">
        <f t="shared" si="19"/>
        <v/>
      </c>
      <c r="G110" s="21" t="str">
        <f t="shared" si="20"/>
        <v/>
      </c>
      <c r="H110" s="21" t="str">
        <f t="shared" si="14"/>
        <v/>
      </c>
      <c r="J110" s="5"/>
      <c r="K110" s="29"/>
      <c r="M110" s="15">
        <f t="shared" si="21"/>
        <v>-212.07954023799795</v>
      </c>
      <c r="N110" s="15">
        <f t="shared" si="22"/>
        <v>212.07954023799795</v>
      </c>
      <c r="P110" s="9">
        <v>86</v>
      </c>
      <c r="Q110" s="20">
        <f t="shared" si="25"/>
        <v>0</v>
      </c>
      <c r="R110" s="20">
        <f t="shared" si="23"/>
        <v>0</v>
      </c>
      <c r="S110" s="5">
        <f t="shared" si="15"/>
        <v>0</v>
      </c>
      <c r="T110">
        <f>SUM($S$26:S111)</f>
        <v>0</v>
      </c>
    </row>
    <row r="111" spans="1:20" x14ac:dyDescent="0.2">
      <c r="A111" s="6"/>
      <c r="B111" s="7"/>
      <c r="C111" s="9" t="str">
        <f t="shared" ref="C111:C120" si="28">IF(A111="","",A111)</f>
        <v/>
      </c>
      <c r="D111" s="24" t="str">
        <f t="shared" si="27"/>
        <v/>
      </c>
      <c r="E111" s="21" t="str">
        <f t="shared" si="26"/>
        <v/>
      </c>
      <c r="F111" s="21" t="str">
        <f t="shared" si="19"/>
        <v/>
      </c>
      <c r="G111" s="21" t="str">
        <f t="shared" si="20"/>
        <v/>
      </c>
      <c r="H111" s="21" t="str">
        <f t="shared" si="14"/>
        <v/>
      </c>
      <c r="J111" s="5"/>
      <c r="K111" s="29"/>
      <c r="M111" s="15">
        <f t="shared" si="21"/>
        <v>-212.07954023799795</v>
      </c>
      <c r="N111" s="15">
        <f t="shared" si="22"/>
        <v>212.07954023799795</v>
      </c>
      <c r="P111" s="9">
        <v>87</v>
      </c>
      <c r="Q111" s="20">
        <f t="shared" si="25"/>
        <v>0</v>
      </c>
      <c r="R111" s="20">
        <f t="shared" si="23"/>
        <v>0</v>
      </c>
      <c r="S111" s="5">
        <f t="shared" si="15"/>
        <v>0</v>
      </c>
      <c r="T111">
        <f>SUM($S$26:S112)</f>
        <v>0</v>
      </c>
    </row>
    <row r="112" spans="1:20" x14ac:dyDescent="0.2">
      <c r="A112" s="6"/>
      <c r="B112" s="7"/>
      <c r="C112" s="9" t="str">
        <f t="shared" si="28"/>
        <v/>
      </c>
      <c r="D112" s="24" t="str">
        <f t="shared" si="27"/>
        <v/>
      </c>
      <c r="E112" s="21" t="str">
        <f t="shared" si="26"/>
        <v/>
      </c>
      <c r="F112" s="21" t="str">
        <f t="shared" si="19"/>
        <v/>
      </c>
      <c r="G112" s="21" t="str">
        <f t="shared" si="20"/>
        <v/>
      </c>
      <c r="H112" s="21" t="str">
        <f t="shared" si="14"/>
        <v/>
      </c>
      <c r="J112" s="5"/>
      <c r="K112" s="29"/>
      <c r="M112" s="15">
        <f t="shared" si="21"/>
        <v>-212.07954023799795</v>
      </c>
      <c r="N112" s="15">
        <f t="shared" si="22"/>
        <v>212.07954023799795</v>
      </c>
      <c r="P112" s="9">
        <v>88</v>
      </c>
      <c r="Q112" s="20">
        <f t="shared" si="25"/>
        <v>0</v>
      </c>
      <c r="R112" s="20">
        <f t="shared" si="23"/>
        <v>0</v>
      </c>
      <c r="S112" s="5">
        <f t="shared" si="15"/>
        <v>0</v>
      </c>
      <c r="T112">
        <f>SUM($S$26:S113)</f>
        <v>0</v>
      </c>
    </row>
    <row r="113" spans="1:20" x14ac:dyDescent="0.2">
      <c r="A113" s="6"/>
      <c r="B113" s="7"/>
      <c r="C113" s="9" t="str">
        <f t="shared" si="28"/>
        <v/>
      </c>
      <c r="D113" s="24" t="str">
        <f t="shared" si="27"/>
        <v/>
      </c>
      <c r="E113" s="21" t="str">
        <f t="shared" si="26"/>
        <v/>
      </c>
      <c r="F113" s="21" t="str">
        <f t="shared" si="19"/>
        <v/>
      </c>
      <c r="G113" s="21" t="str">
        <f t="shared" si="20"/>
        <v/>
      </c>
      <c r="H113" s="21" t="str">
        <f t="shared" si="14"/>
        <v/>
      </c>
      <c r="J113" s="5"/>
      <c r="K113" s="29"/>
      <c r="M113" s="15">
        <f t="shared" si="21"/>
        <v>-212.07954023799795</v>
      </c>
      <c r="N113" s="15">
        <f t="shared" si="22"/>
        <v>212.07954023799795</v>
      </c>
      <c r="P113" s="9">
        <v>89</v>
      </c>
      <c r="Q113" s="20">
        <f t="shared" si="25"/>
        <v>0</v>
      </c>
      <c r="R113" s="20">
        <f t="shared" si="23"/>
        <v>0</v>
      </c>
      <c r="S113" s="5">
        <f t="shared" si="15"/>
        <v>0</v>
      </c>
      <c r="T113">
        <f>SUM($S$26:S114)</f>
        <v>0</v>
      </c>
    </row>
    <row r="114" spans="1:20" x14ac:dyDescent="0.2">
      <c r="A114" s="6"/>
      <c r="B114" s="7"/>
      <c r="C114" s="9" t="str">
        <f t="shared" si="28"/>
        <v/>
      </c>
      <c r="D114" s="24" t="str">
        <f t="shared" si="27"/>
        <v/>
      </c>
      <c r="E114" s="21" t="str">
        <f t="shared" si="26"/>
        <v/>
      </c>
      <c r="F114" s="21" t="str">
        <f t="shared" si="19"/>
        <v/>
      </c>
      <c r="G114" s="21" t="str">
        <f t="shared" si="20"/>
        <v/>
      </c>
      <c r="H114" s="21" t="str">
        <f t="shared" si="14"/>
        <v/>
      </c>
      <c r="J114" s="5"/>
      <c r="K114" s="29"/>
      <c r="M114" s="15">
        <f t="shared" si="21"/>
        <v>-212.07954023799795</v>
      </c>
      <c r="N114" s="15">
        <f t="shared" si="22"/>
        <v>212.07954023799795</v>
      </c>
      <c r="P114" s="9">
        <v>90</v>
      </c>
      <c r="Q114" s="20">
        <f t="shared" si="25"/>
        <v>0</v>
      </c>
      <c r="R114" s="20">
        <f t="shared" si="23"/>
        <v>0</v>
      </c>
      <c r="S114" s="5">
        <f t="shared" si="15"/>
        <v>0</v>
      </c>
      <c r="T114">
        <f>SUM($S$26:S115)</f>
        <v>0</v>
      </c>
    </row>
    <row r="115" spans="1:20" x14ac:dyDescent="0.2">
      <c r="A115" s="6"/>
      <c r="B115" s="7"/>
      <c r="C115" s="9" t="str">
        <f t="shared" si="28"/>
        <v/>
      </c>
      <c r="D115" s="24" t="str">
        <f t="shared" si="27"/>
        <v/>
      </c>
      <c r="E115" s="21" t="str">
        <f t="shared" si="26"/>
        <v/>
      </c>
      <c r="F115" s="21" t="str">
        <f t="shared" si="19"/>
        <v/>
      </c>
      <c r="G115" s="21" t="str">
        <f t="shared" si="20"/>
        <v/>
      </c>
      <c r="H115" s="21" t="str">
        <f t="shared" si="14"/>
        <v/>
      </c>
      <c r="J115" s="5"/>
      <c r="K115" s="29"/>
      <c r="M115" s="15">
        <f t="shared" si="21"/>
        <v>-212.07954023799795</v>
      </c>
      <c r="N115" s="15">
        <f t="shared" si="22"/>
        <v>212.07954023799795</v>
      </c>
      <c r="P115" s="9">
        <v>91</v>
      </c>
      <c r="Q115" s="20">
        <f t="shared" si="25"/>
        <v>0</v>
      </c>
      <c r="R115" s="20">
        <f t="shared" si="23"/>
        <v>0</v>
      </c>
      <c r="S115" s="5">
        <f t="shared" si="15"/>
        <v>0</v>
      </c>
      <c r="T115">
        <f>SUM($S$26:S116)</f>
        <v>0</v>
      </c>
    </row>
    <row r="116" spans="1:20" x14ac:dyDescent="0.2">
      <c r="A116" s="6"/>
      <c r="B116" s="7"/>
      <c r="C116" s="9" t="str">
        <f t="shared" si="28"/>
        <v/>
      </c>
      <c r="D116" s="24" t="str">
        <f t="shared" si="27"/>
        <v/>
      </c>
      <c r="E116" s="21" t="str">
        <f t="shared" si="26"/>
        <v/>
      </c>
      <c r="F116" s="21" t="str">
        <f t="shared" si="19"/>
        <v/>
      </c>
      <c r="G116" s="21" t="str">
        <f t="shared" si="20"/>
        <v/>
      </c>
      <c r="H116" s="21" t="str">
        <f t="shared" si="14"/>
        <v/>
      </c>
      <c r="J116" s="5"/>
      <c r="K116" s="29"/>
      <c r="M116" s="15">
        <f t="shared" si="21"/>
        <v>-212.07954023799795</v>
      </c>
      <c r="N116" s="15">
        <f t="shared" si="22"/>
        <v>212.07954023799795</v>
      </c>
      <c r="P116" s="9">
        <v>92</v>
      </c>
      <c r="Q116" s="20">
        <f t="shared" si="25"/>
        <v>0</v>
      </c>
      <c r="R116" s="20">
        <f t="shared" si="23"/>
        <v>0</v>
      </c>
      <c r="S116" s="5">
        <f t="shared" si="15"/>
        <v>0</v>
      </c>
      <c r="T116">
        <f>SUM($S$26:S117)</f>
        <v>0</v>
      </c>
    </row>
    <row r="117" spans="1:20" x14ac:dyDescent="0.2">
      <c r="A117" s="6"/>
      <c r="B117" s="7"/>
      <c r="C117" s="9" t="str">
        <f t="shared" si="28"/>
        <v/>
      </c>
      <c r="D117" s="24" t="str">
        <f t="shared" si="27"/>
        <v/>
      </c>
      <c r="E117" s="21" t="str">
        <f t="shared" si="26"/>
        <v/>
      </c>
      <c r="F117" s="21" t="str">
        <f t="shared" si="19"/>
        <v/>
      </c>
      <c r="G117" s="21" t="str">
        <f t="shared" si="20"/>
        <v/>
      </c>
      <c r="H117" s="21" t="str">
        <f t="shared" si="14"/>
        <v/>
      </c>
      <c r="J117" s="5"/>
      <c r="K117" s="29"/>
      <c r="M117" s="15">
        <f t="shared" si="21"/>
        <v>-212.07954023799795</v>
      </c>
      <c r="N117" s="15">
        <f t="shared" si="22"/>
        <v>212.07954023799795</v>
      </c>
      <c r="P117" s="9">
        <v>93</v>
      </c>
      <c r="Q117" s="20">
        <f t="shared" si="25"/>
        <v>0</v>
      </c>
      <c r="R117" s="20">
        <f t="shared" si="23"/>
        <v>0</v>
      </c>
      <c r="S117" s="5">
        <f t="shared" si="15"/>
        <v>0</v>
      </c>
      <c r="T117">
        <f>SUM($S$26:S118)</f>
        <v>0</v>
      </c>
    </row>
    <row r="118" spans="1:20" x14ac:dyDescent="0.2">
      <c r="A118" s="6"/>
      <c r="B118" s="7"/>
      <c r="C118" s="9" t="str">
        <f t="shared" si="28"/>
        <v/>
      </c>
      <c r="D118" s="24" t="str">
        <f t="shared" si="27"/>
        <v/>
      </c>
      <c r="E118" s="21" t="str">
        <f t="shared" si="26"/>
        <v/>
      </c>
      <c r="F118" s="21" t="str">
        <f t="shared" si="19"/>
        <v/>
      </c>
      <c r="G118" s="21" t="str">
        <f t="shared" si="20"/>
        <v/>
      </c>
      <c r="H118" s="21" t="str">
        <f t="shared" si="14"/>
        <v/>
      </c>
      <c r="J118" s="5"/>
      <c r="K118" s="29"/>
      <c r="M118" s="15">
        <f t="shared" si="21"/>
        <v>-212.07954023799795</v>
      </c>
      <c r="N118" s="15">
        <f t="shared" si="22"/>
        <v>212.07954023799795</v>
      </c>
      <c r="P118" s="9">
        <v>94</v>
      </c>
      <c r="Q118" s="20">
        <f t="shared" si="25"/>
        <v>0</v>
      </c>
      <c r="R118" s="20">
        <f t="shared" si="23"/>
        <v>0</v>
      </c>
      <c r="S118" s="5">
        <f t="shared" si="15"/>
        <v>0</v>
      </c>
      <c r="T118">
        <f>SUM($S$26:S119)</f>
        <v>0</v>
      </c>
    </row>
    <row r="119" spans="1:20" x14ac:dyDescent="0.2">
      <c r="A119" s="6"/>
      <c r="B119" s="7"/>
      <c r="C119" s="9" t="str">
        <f t="shared" si="28"/>
        <v/>
      </c>
      <c r="D119" s="24" t="str">
        <f t="shared" si="27"/>
        <v/>
      </c>
      <c r="E119" s="21" t="str">
        <f t="shared" si="26"/>
        <v/>
      </c>
      <c r="F119" s="21" t="str">
        <f t="shared" si="19"/>
        <v/>
      </c>
      <c r="G119" s="21" t="str">
        <f t="shared" si="20"/>
        <v/>
      </c>
      <c r="H119" s="21" t="str">
        <f t="shared" si="14"/>
        <v/>
      </c>
      <c r="J119" s="11"/>
      <c r="K119" s="30"/>
      <c r="M119" s="15">
        <f t="shared" si="21"/>
        <v>-212.07954023799795</v>
      </c>
      <c r="N119" s="15">
        <f t="shared" si="22"/>
        <v>212.07954023799795</v>
      </c>
      <c r="P119" s="9">
        <v>95</v>
      </c>
      <c r="Q119" s="20">
        <f t="shared" si="25"/>
        <v>0</v>
      </c>
      <c r="R119" s="20">
        <f t="shared" si="23"/>
        <v>0</v>
      </c>
      <c r="S119" s="5">
        <f t="shared" si="15"/>
        <v>0</v>
      </c>
      <c r="T119">
        <f>SUM($S$26:S120)</f>
        <v>0</v>
      </c>
    </row>
    <row r="120" spans="1:20" x14ac:dyDescent="0.2">
      <c r="A120" s="6"/>
      <c r="B120" s="7"/>
      <c r="C120" s="9" t="str">
        <f t="shared" si="28"/>
        <v/>
      </c>
      <c r="D120" s="24" t="str">
        <f t="shared" si="27"/>
        <v/>
      </c>
      <c r="E120" s="21" t="str">
        <f t="shared" si="26"/>
        <v/>
      </c>
      <c r="F120" s="21" t="str">
        <f t="shared" si="19"/>
        <v/>
      </c>
      <c r="G120" s="21" t="str">
        <f t="shared" si="20"/>
        <v/>
      </c>
      <c r="H120" s="21" t="str">
        <f t="shared" si="14"/>
        <v/>
      </c>
      <c r="J120" s="11"/>
      <c r="K120" s="30"/>
      <c r="M120" s="15">
        <f t="shared" si="21"/>
        <v>-212.07954023799795</v>
      </c>
      <c r="N120" s="15">
        <f t="shared" si="22"/>
        <v>212.07954023799795</v>
      </c>
      <c r="P120" s="9">
        <v>96</v>
      </c>
      <c r="Q120" s="20">
        <f t="shared" si="25"/>
        <v>0</v>
      </c>
      <c r="R120" s="20">
        <f t="shared" si="23"/>
        <v>0</v>
      </c>
      <c r="S120" s="5">
        <f t="shared" si="15"/>
        <v>0</v>
      </c>
      <c r="T120">
        <f>SUM($S$26:S121)</f>
        <v>0</v>
      </c>
    </row>
    <row r="121" spans="1:20" x14ac:dyDescent="0.2">
      <c r="D121" s="21"/>
      <c r="E121" s="21"/>
      <c r="G121" s="21"/>
      <c r="J121" s="11"/>
      <c r="K121" s="30"/>
      <c r="N121" s="11"/>
      <c r="O121" s="11"/>
    </row>
    <row r="122" spans="1:20" x14ac:dyDescent="0.2">
      <c r="D122" s="21"/>
      <c r="E122" s="21"/>
      <c r="G122" s="21"/>
      <c r="J122" s="11"/>
      <c r="K122" s="30"/>
      <c r="N122" s="11"/>
      <c r="O122" s="11"/>
    </row>
    <row r="123" spans="1:20" x14ac:dyDescent="0.2">
      <c r="D123" s="21"/>
      <c r="E123" s="21"/>
      <c r="G123" s="21"/>
      <c r="J123" s="11"/>
      <c r="K123" s="30"/>
      <c r="N123" s="11"/>
      <c r="O123" s="11"/>
    </row>
    <row r="124" spans="1:20" x14ac:dyDescent="0.2">
      <c r="D124" s="21"/>
      <c r="E124" s="21"/>
      <c r="G124" s="21"/>
      <c r="J124" s="11"/>
      <c r="K124" s="30"/>
      <c r="N124" s="11"/>
      <c r="O124" s="11"/>
    </row>
    <row r="125" spans="1:20" x14ac:dyDescent="0.2">
      <c r="D125" s="21"/>
      <c r="E125" s="21"/>
      <c r="G125" s="21"/>
      <c r="J125" s="11"/>
      <c r="K125" s="30"/>
      <c r="N125" s="11"/>
      <c r="O125" s="11"/>
    </row>
    <row r="126" spans="1:20" x14ac:dyDescent="0.2">
      <c r="D126" s="21"/>
      <c r="E126" s="21"/>
      <c r="G126" s="21"/>
      <c r="J126" s="11"/>
      <c r="K126" s="30"/>
      <c r="N126" s="11"/>
      <c r="O126" s="11"/>
    </row>
    <row r="127" spans="1:20" x14ac:dyDescent="0.2">
      <c r="D127" s="21"/>
      <c r="E127" s="21"/>
      <c r="G127" s="21"/>
      <c r="J127" s="11"/>
      <c r="K127" s="30"/>
      <c r="N127" s="11"/>
      <c r="O127" s="11"/>
    </row>
    <row r="128" spans="1:20" x14ac:dyDescent="0.2">
      <c r="D128" s="21"/>
      <c r="E128" s="21"/>
      <c r="G128" s="21"/>
      <c r="J128" s="11"/>
      <c r="K128" s="30"/>
      <c r="N128" s="11"/>
      <c r="O128" s="11"/>
    </row>
    <row r="129" spans="4:15" x14ac:dyDescent="0.2">
      <c r="D129" s="21"/>
      <c r="E129" s="21"/>
      <c r="G129" s="21"/>
      <c r="J129" s="11"/>
      <c r="K129" s="30"/>
      <c r="N129" s="11"/>
      <c r="O129" s="11"/>
    </row>
    <row r="130" spans="4:15" x14ac:dyDescent="0.2">
      <c r="D130" s="21"/>
      <c r="E130" s="21"/>
      <c r="G130" s="21"/>
      <c r="J130" s="11"/>
      <c r="K130" s="30"/>
      <c r="N130" s="11"/>
      <c r="O130" s="11"/>
    </row>
    <row r="131" spans="4:15" x14ac:dyDescent="0.2">
      <c r="D131" s="21"/>
      <c r="E131" s="21"/>
      <c r="G131" s="21"/>
      <c r="J131" s="11"/>
      <c r="K131" s="30"/>
      <c r="N131" s="11"/>
      <c r="O131" s="11"/>
    </row>
    <row r="132" spans="4:15" x14ac:dyDescent="0.2">
      <c r="D132" s="21"/>
      <c r="E132" s="21"/>
      <c r="G132" s="21"/>
      <c r="J132" s="11"/>
      <c r="K132" s="30"/>
      <c r="N132" s="11"/>
      <c r="O132" s="11"/>
    </row>
    <row r="133" spans="4:15" x14ac:dyDescent="0.2">
      <c r="D133" s="21"/>
      <c r="E133" s="21"/>
      <c r="F133" s="21"/>
      <c r="J133" s="11"/>
      <c r="K133" s="30"/>
      <c r="N133" s="11"/>
      <c r="O133" s="11"/>
    </row>
    <row r="134" spans="4:15" x14ac:dyDescent="0.2">
      <c r="D134" s="21"/>
      <c r="E134" s="21"/>
      <c r="F134" s="21"/>
      <c r="J134" s="11"/>
      <c r="K134" s="30"/>
      <c r="N134" s="11"/>
      <c r="O134" s="11"/>
    </row>
    <row r="135" spans="4:15" x14ac:dyDescent="0.2">
      <c r="D135" s="21"/>
      <c r="E135" s="21"/>
      <c r="F135" s="21"/>
      <c r="J135" s="11"/>
      <c r="K135" s="30"/>
      <c r="N135" s="11"/>
      <c r="O135" s="11"/>
    </row>
    <row r="136" spans="4:15" x14ac:dyDescent="0.2">
      <c r="D136" s="21"/>
      <c r="E136" s="21"/>
      <c r="F136" s="21"/>
      <c r="J136" s="3"/>
      <c r="K136" s="31"/>
      <c r="N136" s="11"/>
      <c r="O136" s="11"/>
    </row>
    <row r="137" spans="4:15" x14ac:dyDescent="0.2">
      <c r="D137" s="21"/>
      <c r="E137" s="21"/>
      <c r="F137" s="21"/>
      <c r="J137" s="3"/>
      <c r="K137" s="31"/>
      <c r="N137" s="3"/>
      <c r="O137" s="3"/>
    </row>
    <row r="138" spans="4:15" x14ac:dyDescent="0.2">
      <c r="D138" s="21"/>
      <c r="E138" s="21"/>
      <c r="F138" s="21"/>
      <c r="J138" s="3"/>
      <c r="K138" s="31"/>
      <c r="N138" s="3"/>
      <c r="O138" s="3"/>
    </row>
    <row r="139" spans="4:15" x14ac:dyDescent="0.2">
      <c r="D139" s="21"/>
      <c r="E139" s="21"/>
      <c r="F139" s="21"/>
      <c r="J139" s="3"/>
      <c r="K139" s="31"/>
      <c r="N139" s="3"/>
      <c r="O139" s="3"/>
    </row>
    <row r="140" spans="4:15" x14ac:dyDescent="0.2">
      <c r="D140" s="21"/>
      <c r="E140" s="21"/>
      <c r="F140" s="21"/>
      <c r="J140" s="3"/>
      <c r="K140" s="31"/>
      <c r="N140" s="3"/>
      <c r="O140" s="3"/>
    </row>
    <row r="141" spans="4:15" x14ac:dyDescent="0.2">
      <c r="D141" s="21"/>
      <c r="E141" s="21"/>
      <c r="F141" s="21"/>
      <c r="J141" s="3"/>
      <c r="K141" s="31"/>
      <c r="N141" s="3"/>
      <c r="O141" s="3"/>
    </row>
    <row r="142" spans="4:15" x14ac:dyDescent="0.2">
      <c r="D142" s="21"/>
      <c r="E142" s="21"/>
      <c r="F142" s="21"/>
      <c r="J142" s="3"/>
      <c r="K142" s="31"/>
      <c r="N142" s="3"/>
      <c r="O142" s="3"/>
    </row>
    <row r="143" spans="4:15" x14ac:dyDescent="0.2">
      <c r="D143" s="21"/>
      <c r="E143" s="21"/>
      <c r="F143" s="21"/>
      <c r="J143" s="3"/>
      <c r="K143" s="31"/>
      <c r="N143" s="3"/>
      <c r="O143" s="3"/>
    </row>
    <row r="144" spans="4:15" x14ac:dyDescent="0.2">
      <c r="D144" s="21"/>
      <c r="E144" s="21"/>
      <c r="F144" s="21"/>
      <c r="J144" s="3"/>
      <c r="K144" s="31"/>
      <c r="N144" s="3"/>
      <c r="O144" s="3"/>
    </row>
    <row r="145" spans="4:15" x14ac:dyDescent="0.2">
      <c r="D145" s="21"/>
      <c r="E145" s="21"/>
      <c r="F145" s="21"/>
      <c r="J145" s="3"/>
      <c r="K145" s="31"/>
      <c r="N145" s="3"/>
      <c r="O145" s="3"/>
    </row>
    <row r="146" spans="4:15" x14ac:dyDescent="0.2">
      <c r="D146" s="21"/>
      <c r="E146" s="21"/>
      <c r="F146" s="21"/>
      <c r="J146" s="3"/>
      <c r="K146" s="31"/>
      <c r="N146" s="3"/>
      <c r="O146" s="3"/>
    </row>
    <row r="147" spans="4:15" x14ac:dyDescent="0.2">
      <c r="D147" s="21"/>
      <c r="E147" s="21"/>
      <c r="F147" s="21"/>
      <c r="J147" s="3"/>
      <c r="K147" s="31"/>
      <c r="N147" s="3"/>
      <c r="O147" s="3"/>
    </row>
    <row r="148" spans="4:15" x14ac:dyDescent="0.2">
      <c r="D148" s="21"/>
      <c r="E148" s="21"/>
      <c r="F148" s="21"/>
      <c r="J148" s="3"/>
      <c r="K148" s="31"/>
      <c r="N148" s="3"/>
      <c r="O148" s="3"/>
    </row>
    <row r="149" spans="4:15" x14ac:dyDescent="0.2">
      <c r="D149" s="21"/>
      <c r="E149" s="21"/>
      <c r="F149" s="21"/>
      <c r="J149" s="3"/>
      <c r="K149" s="31"/>
      <c r="N149" s="3"/>
      <c r="O149" s="3"/>
    </row>
    <row r="150" spans="4:15" x14ac:dyDescent="0.2">
      <c r="D150" s="21"/>
      <c r="E150" s="21"/>
      <c r="F150" s="21"/>
      <c r="J150" s="3"/>
      <c r="K150" s="31"/>
      <c r="N150" s="3"/>
      <c r="O150" s="3"/>
    </row>
    <row r="151" spans="4:15" x14ac:dyDescent="0.2">
      <c r="D151" s="21"/>
      <c r="E151" s="21"/>
      <c r="F151" s="21"/>
      <c r="J151" s="3"/>
      <c r="K151" s="31"/>
      <c r="N151" s="3"/>
      <c r="O151" s="3"/>
    </row>
    <row r="152" spans="4:15" x14ac:dyDescent="0.2">
      <c r="D152" s="21"/>
      <c r="E152" s="21"/>
      <c r="F152" s="21"/>
      <c r="H152" s="3"/>
      <c r="I152" s="3"/>
      <c r="J152" s="3"/>
      <c r="K152" s="31"/>
      <c r="N152" s="3"/>
      <c r="O152" s="3"/>
    </row>
    <row r="153" spans="4:15" x14ac:dyDescent="0.2">
      <c r="D153" s="21"/>
      <c r="E153" s="21"/>
      <c r="F153" s="21"/>
      <c r="H153" s="3"/>
      <c r="I153" s="3"/>
      <c r="J153" s="3"/>
      <c r="K153" s="31"/>
      <c r="M153" s="3"/>
      <c r="N153" s="3"/>
      <c r="O153" s="3"/>
    </row>
    <row r="154" spans="4:15" x14ac:dyDescent="0.2">
      <c r="D154" s="21"/>
      <c r="E154" s="21"/>
      <c r="F154" s="21"/>
      <c r="H154" s="3"/>
      <c r="I154" s="3"/>
      <c r="J154" s="3"/>
      <c r="K154" s="31"/>
      <c r="M154" s="3"/>
      <c r="N154" s="3"/>
      <c r="O154" s="3"/>
    </row>
    <row r="155" spans="4:15" x14ac:dyDescent="0.2">
      <c r="D155" s="21"/>
      <c r="E155" s="21"/>
      <c r="F155" s="21"/>
    </row>
    <row r="156" spans="4:15" x14ac:dyDescent="0.2">
      <c r="D156" s="21"/>
      <c r="E156" s="21"/>
      <c r="F156" s="21"/>
    </row>
    <row r="157" spans="4:15" x14ac:dyDescent="0.2">
      <c r="D157" s="21"/>
      <c r="E157" s="21"/>
      <c r="F157" s="21"/>
    </row>
    <row r="158" spans="4:15" x14ac:dyDescent="0.2">
      <c r="D158" s="21"/>
      <c r="E158" s="21"/>
      <c r="F158" s="21"/>
    </row>
    <row r="159" spans="4:15" x14ac:dyDescent="0.2">
      <c r="D159" s="21"/>
      <c r="E159" s="21"/>
      <c r="F159" s="21"/>
    </row>
    <row r="160" spans="4:15" x14ac:dyDescent="0.2">
      <c r="D160" s="21"/>
      <c r="E160" s="21"/>
      <c r="F160" s="21"/>
    </row>
    <row r="161" spans="4:6" x14ac:dyDescent="0.2">
      <c r="D161" s="21"/>
      <c r="E161" s="21"/>
      <c r="F161" s="21"/>
    </row>
    <row r="162" spans="4:6" x14ac:dyDescent="0.2">
      <c r="D162" s="21"/>
      <c r="E162" s="21"/>
      <c r="F162" s="21"/>
    </row>
    <row r="163" spans="4:6" x14ac:dyDescent="0.2">
      <c r="D163" s="21"/>
      <c r="E163" s="21"/>
      <c r="F163" s="21"/>
    </row>
    <row r="164" spans="4:6" x14ac:dyDescent="0.2">
      <c r="D164" s="21"/>
      <c r="E164" s="21"/>
      <c r="F164" s="21"/>
    </row>
    <row r="165" spans="4:6" x14ac:dyDescent="0.2">
      <c r="D165" s="21"/>
      <c r="E165" s="21"/>
      <c r="F165" s="21"/>
    </row>
    <row r="166" spans="4:6" x14ac:dyDescent="0.2">
      <c r="D166" s="21"/>
      <c r="E166" s="21"/>
      <c r="F166" s="21"/>
    </row>
    <row r="167" spans="4:6" x14ac:dyDescent="0.2">
      <c r="D167" s="21"/>
      <c r="E167" s="21"/>
      <c r="F167" s="21"/>
    </row>
    <row r="168" spans="4:6" x14ac:dyDescent="0.2">
      <c r="D168" s="21"/>
      <c r="E168" s="21"/>
      <c r="F168" s="21"/>
    </row>
    <row r="169" spans="4:6" x14ac:dyDescent="0.2">
      <c r="D169" s="21"/>
      <c r="E169" s="21"/>
      <c r="F169" s="21"/>
    </row>
    <row r="170" spans="4:6" x14ac:dyDescent="0.2">
      <c r="D170" s="21"/>
      <c r="E170" s="21"/>
      <c r="F170" s="21"/>
    </row>
    <row r="171" spans="4:6" x14ac:dyDescent="0.2">
      <c r="D171" s="21"/>
      <c r="E171" s="21"/>
      <c r="F171" s="21"/>
    </row>
    <row r="172" spans="4:6" x14ac:dyDescent="0.2">
      <c r="D172" s="21"/>
      <c r="E172" s="21"/>
      <c r="F172" s="21"/>
    </row>
    <row r="173" spans="4:6" x14ac:dyDescent="0.2">
      <c r="D173" s="21"/>
      <c r="E173" s="21"/>
      <c r="F173" s="21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</sheetData>
  <mergeCells count="2">
    <mergeCell ref="M23:N23"/>
    <mergeCell ref="C22:D22"/>
  </mergeCells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85D7-BD89-4461-93B0-7106752EF4F6}">
  <sheetPr>
    <pageSetUpPr fitToPage="1"/>
  </sheetPr>
  <dimension ref="A1:W644"/>
  <sheetViews>
    <sheetView zoomScaleNormal="100" workbookViewId="0">
      <selection activeCell="H24" sqref="H24"/>
    </sheetView>
  </sheetViews>
  <sheetFormatPr baseColWidth="10" defaultRowHeight="12.75" x14ac:dyDescent="0.2"/>
  <cols>
    <col min="1" max="1" width="10" customWidth="1"/>
    <col min="2" max="3" width="13.42578125" customWidth="1"/>
    <col min="4" max="4" width="12.7109375" customWidth="1"/>
    <col min="5" max="5" width="14.7109375" customWidth="1"/>
    <col min="6" max="6" width="13.42578125" customWidth="1"/>
    <col min="7" max="7" width="15.7109375" customWidth="1"/>
    <col min="8" max="8" width="12.85546875" customWidth="1"/>
    <col min="9" max="9" width="13.42578125" customWidth="1"/>
    <col min="10" max="10" width="6.28515625" customWidth="1"/>
    <col min="11" max="11" width="1.42578125" style="27" customWidth="1"/>
    <col min="12" max="12" width="5.5703125" customWidth="1"/>
    <col min="13" max="13" width="19" customWidth="1"/>
    <col min="14" max="14" width="12.7109375" customWidth="1"/>
    <col min="15" max="15" width="15" customWidth="1"/>
    <col min="16" max="16" width="14.28515625" customWidth="1"/>
    <col min="17" max="18" width="12.7109375" customWidth="1"/>
    <col min="19" max="19" width="15.140625" customWidth="1"/>
    <col min="20" max="20" width="15.7109375" customWidth="1"/>
    <col min="21" max="21" width="14.140625" customWidth="1"/>
    <col min="22" max="22" width="15.42578125" customWidth="1"/>
    <col min="23" max="256" width="9.140625" customWidth="1"/>
  </cols>
  <sheetData>
    <row r="1" spans="1:21" x14ac:dyDescent="0.2">
      <c r="A1" s="1" t="s">
        <v>81</v>
      </c>
      <c r="D1" s="1" t="s">
        <v>46</v>
      </c>
      <c r="G1" s="13" t="s">
        <v>7</v>
      </c>
      <c r="H1" s="5"/>
      <c r="I1" s="5"/>
      <c r="M1" t="s">
        <v>49</v>
      </c>
    </row>
    <row r="2" spans="1:21" ht="13.5" thickBot="1" x14ac:dyDescent="0.25">
      <c r="A2" s="33" t="s">
        <v>91</v>
      </c>
      <c r="G2" s="13" t="s">
        <v>23</v>
      </c>
      <c r="H2" s="5"/>
      <c r="I2" s="14">
        <f>IF(C15=0,0,SQRT(I6))</f>
        <v>72.167923128646052</v>
      </c>
    </row>
    <row r="3" spans="1:21" x14ac:dyDescent="0.2">
      <c r="A3" s="5" t="s">
        <v>82</v>
      </c>
      <c r="G3" s="13" t="s">
        <v>8</v>
      </c>
      <c r="H3" s="5"/>
      <c r="I3" s="14">
        <f>3*I2</f>
        <v>216.50376938593814</v>
      </c>
      <c r="M3" s="36" t="s">
        <v>50</v>
      </c>
      <c r="N3" s="36"/>
    </row>
    <row r="4" spans="1:21" x14ac:dyDescent="0.2">
      <c r="A4" s="5" t="s">
        <v>6</v>
      </c>
      <c r="G4" s="1"/>
      <c r="H4" s="5"/>
      <c r="I4" s="14"/>
      <c r="M4" t="s">
        <v>51</v>
      </c>
      <c r="N4">
        <v>0.92034459518358547</v>
      </c>
    </row>
    <row r="5" spans="1:21" x14ac:dyDescent="0.2">
      <c r="A5" s="33" t="s">
        <v>88</v>
      </c>
      <c r="G5" s="13" t="s">
        <v>24</v>
      </c>
      <c r="H5" s="5"/>
      <c r="I5" s="14">
        <f>VLOOKUP($C$10,$P$25:$R$120,3)</f>
        <v>20832.836514808663</v>
      </c>
      <c r="M5" t="s">
        <v>52</v>
      </c>
      <c r="N5">
        <v>0.84703417388363789</v>
      </c>
    </row>
    <row r="6" spans="1:21" x14ac:dyDescent="0.2">
      <c r="A6" s="5" t="s">
        <v>35</v>
      </c>
      <c r="G6" s="13" t="s">
        <v>18</v>
      </c>
      <c r="H6" s="5"/>
      <c r="I6" s="19">
        <f>I5/$C$10</f>
        <v>5208.2091287021658</v>
      </c>
      <c r="M6" t="s">
        <v>53</v>
      </c>
      <c r="N6">
        <v>0.77055126082545677</v>
      </c>
    </row>
    <row r="7" spans="1:21" x14ac:dyDescent="0.2">
      <c r="A7" s="5" t="s">
        <v>36</v>
      </c>
      <c r="D7" s="5"/>
      <c r="E7" s="2"/>
      <c r="G7" s="13" t="s">
        <v>25</v>
      </c>
      <c r="H7" s="5"/>
      <c r="I7" s="14">
        <f>VLOOKUP($C$15,$P$25:$R$120,3)</f>
        <v>20832.836514808663</v>
      </c>
      <c r="M7" t="s">
        <v>54</v>
      </c>
      <c r="N7">
        <v>102.06085565683144</v>
      </c>
    </row>
    <row r="8" spans="1:21" ht="13.5" thickBot="1" x14ac:dyDescent="0.25">
      <c r="G8" s="13" t="s">
        <v>26</v>
      </c>
      <c r="H8" s="5"/>
      <c r="I8" s="14">
        <f>I7-I5</f>
        <v>0</v>
      </c>
      <c r="M8" s="34" t="s">
        <v>55</v>
      </c>
      <c r="N8" s="34">
        <v>4</v>
      </c>
    </row>
    <row r="9" spans="1:21" x14ac:dyDescent="0.2">
      <c r="A9" s="13" t="s">
        <v>14</v>
      </c>
      <c r="B9" s="5"/>
      <c r="C9" s="5"/>
      <c r="G9" s="13" t="s">
        <v>27</v>
      </c>
      <c r="H9" s="5"/>
      <c r="I9" s="5">
        <f>$C$15-$C$10</f>
        <v>0</v>
      </c>
    </row>
    <row r="10" spans="1:21" ht="13.5" thickBot="1" x14ac:dyDescent="0.25">
      <c r="A10" s="13" t="s">
        <v>22</v>
      </c>
      <c r="B10" s="5"/>
      <c r="C10" s="6">
        <v>4</v>
      </c>
      <c r="G10" s="13" t="s">
        <v>19</v>
      </c>
      <c r="H10" s="5"/>
      <c r="I10" s="14">
        <f>IF(I9=0,0,+I8/I9)</f>
        <v>0</v>
      </c>
      <c r="M10" t="s">
        <v>56</v>
      </c>
    </row>
    <row r="11" spans="1:21" x14ac:dyDescent="0.2">
      <c r="A11" s="13" t="s">
        <v>15</v>
      </c>
      <c r="B11" s="5"/>
      <c r="C11" s="6">
        <v>2046</v>
      </c>
      <c r="D11" s="17"/>
      <c r="G11" s="1"/>
      <c r="H11" s="5"/>
      <c r="I11" s="14"/>
      <c r="M11" s="35"/>
      <c r="N11" s="35" t="s">
        <v>60</v>
      </c>
      <c r="O11" s="35" t="s">
        <v>61</v>
      </c>
      <c r="P11" s="35" t="s">
        <v>62</v>
      </c>
      <c r="Q11" s="35" t="s">
        <v>1</v>
      </c>
      <c r="R11" s="35" t="s">
        <v>63</v>
      </c>
    </row>
    <row r="12" spans="1:21" x14ac:dyDescent="0.2">
      <c r="D12" s="8"/>
      <c r="G12" s="13" t="s">
        <v>28</v>
      </c>
      <c r="H12" s="5"/>
      <c r="I12" s="14">
        <f>VLOOKUP($C$10,$P$25:$R$120,2)</f>
        <v>248.31701675005024</v>
      </c>
      <c r="M12" t="s">
        <v>57</v>
      </c>
      <c r="N12">
        <v>1</v>
      </c>
      <c r="O12">
        <v>115359.91348519083</v>
      </c>
      <c r="P12">
        <v>115359.91348519083</v>
      </c>
      <c r="Q12">
        <v>11.074815798913072</v>
      </c>
      <c r="R12">
        <v>7.9655404816414421E-2</v>
      </c>
    </row>
    <row r="13" spans="1:21" x14ac:dyDescent="0.2">
      <c r="G13" s="13" t="s">
        <v>20</v>
      </c>
      <c r="H13" s="5"/>
      <c r="I13" s="19">
        <f>I12/$C$10</f>
        <v>62.079254187512561</v>
      </c>
      <c r="M13" t="s">
        <v>58</v>
      </c>
      <c r="N13">
        <v>2</v>
      </c>
      <c r="O13">
        <v>20832.836514809165</v>
      </c>
      <c r="P13">
        <v>10416.418257404583</v>
      </c>
    </row>
    <row r="14" spans="1:21" ht="13.5" thickBot="1" x14ac:dyDescent="0.25">
      <c r="A14" s="13" t="s">
        <v>16</v>
      </c>
      <c r="B14" s="5"/>
      <c r="G14" s="13" t="s">
        <v>29</v>
      </c>
      <c r="H14" s="5"/>
      <c r="I14" s="14">
        <f>VLOOKUP($C$15,$P$25:$R$120,2)</f>
        <v>248.31701675005024</v>
      </c>
      <c r="M14" s="34" t="s">
        <v>0</v>
      </c>
      <c r="N14" s="34">
        <v>3</v>
      </c>
      <c r="O14" s="34">
        <v>136192.75</v>
      </c>
      <c r="P14" s="34"/>
      <c r="Q14" s="34"/>
      <c r="R14" s="34"/>
    </row>
    <row r="15" spans="1:21" ht="13.5" thickBot="1" x14ac:dyDescent="0.25">
      <c r="A15" s="13" t="s">
        <v>9</v>
      </c>
      <c r="B15" s="5"/>
      <c r="C15" s="8">
        <f>COUNT(B25:B120)</f>
        <v>4</v>
      </c>
      <c r="G15" s="13" t="s">
        <v>30</v>
      </c>
      <c r="H15" s="5"/>
      <c r="I15" s="14">
        <f>I14-I12</f>
        <v>0</v>
      </c>
    </row>
    <row r="16" spans="1:21" x14ac:dyDescent="0.2">
      <c r="A16" s="13" t="s">
        <v>17</v>
      </c>
      <c r="B16" s="5"/>
      <c r="C16" s="8">
        <f>VLOOKUP(C15,P25:T120,5)</f>
        <v>0</v>
      </c>
      <c r="G16" s="13" t="s">
        <v>27</v>
      </c>
      <c r="H16" s="5"/>
      <c r="I16" s="5">
        <f>$C$15-$C$10</f>
        <v>0</v>
      </c>
      <c r="M16" s="35"/>
      <c r="N16" s="35" t="s">
        <v>64</v>
      </c>
      <c r="O16" s="35" t="s">
        <v>54</v>
      </c>
      <c r="P16" s="35" t="s">
        <v>65</v>
      </c>
      <c r="Q16" s="35" t="s">
        <v>66</v>
      </c>
      <c r="R16" s="35" t="s">
        <v>67</v>
      </c>
      <c r="S16" s="35" t="s">
        <v>68</v>
      </c>
      <c r="T16" s="35" t="s">
        <v>69</v>
      </c>
      <c r="U16" s="35" t="s">
        <v>70</v>
      </c>
    </row>
    <row r="17" spans="1:23" x14ac:dyDescent="0.2">
      <c r="A17" s="13" t="s">
        <v>18</v>
      </c>
      <c r="B17" s="5"/>
      <c r="C17" s="18">
        <f>IF(C10=0,0,+I6)</f>
        <v>5208.2091287021658</v>
      </c>
      <c r="G17" s="13" t="s">
        <v>21</v>
      </c>
      <c r="H17" s="5"/>
      <c r="I17" s="14">
        <f>IF(I16=0,0,+I15/I16)</f>
        <v>0</v>
      </c>
      <c r="M17" t="s">
        <v>59</v>
      </c>
      <c r="N17">
        <v>-298327.77443795587</v>
      </c>
      <c r="O17">
        <v>91199.248160498784</v>
      </c>
      <c r="P17">
        <v>-3.2711648446151429</v>
      </c>
      <c r="Q17">
        <v>8.2107780917155759E-2</v>
      </c>
      <c r="R17">
        <v>-690726.46848682477</v>
      </c>
      <c r="S17">
        <v>94070.91961091297</v>
      </c>
      <c r="T17">
        <v>-690726.46848682477</v>
      </c>
      <c r="U17">
        <v>94070.91961091297</v>
      </c>
    </row>
    <row r="18" spans="1:23" ht="13.5" thickBot="1" x14ac:dyDescent="0.25">
      <c r="A18" s="13" t="s">
        <v>19</v>
      </c>
      <c r="B18" s="5"/>
      <c r="C18" s="18">
        <f>IF(C15=0,0,+I10)</f>
        <v>0</v>
      </c>
      <c r="G18" s="13" t="s">
        <v>31</v>
      </c>
      <c r="H18" s="5"/>
      <c r="I18" s="5">
        <f>C11</f>
        <v>2046</v>
      </c>
      <c r="M18" s="34" t="s">
        <v>71</v>
      </c>
      <c r="N18" s="34">
        <v>39915.164176643404</v>
      </c>
      <c r="O18" s="34">
        <v>11994.155199516985</v>
      </c>
      <c r="P18" s="34">
        <v>3.3278845831718789</v>
      </c>
      <c r="Q18" s="34">
        <v>7.9655404816414421E-2</v>
      </c>
      <c r="R18" s="34">
        <v>-11691.52043359707</v>
      </c>
      <c r="S18" s="34">
        <v>91521.848786883871</v>
      </c>
      <c r="T18" s="34">
        <v>-11691.52043359707</v>
      </c>
      <c r="U18" s="34">
        <v>91521.848786883871</v>
      </c>
    </row>
    <row r="19" spans="1:23" x14ac:dyDescent="0.2">
      <c r="A19" s="13" t="s">
        <v>20</v>
      </c>
      <c r="B19" s="5"/>
      <c r="C19" s="18">
        <f>IF(C10=0,0,+I13)</f>
        <v>62.079254187512561</v>
      </c>
    </row>
    <row r="20" spans="1:23" x14ac:dyDescent="0.2">
      <c r="A20" s="13" t="s">
        <v>21</v>
      </c>
      <c r="B20" s="5"/>
      <c r="C20" s="18">
        <f>IF(C15=0,0,+I17)</f>
        <v>0</v>
      </c>
      <c r="W20" s="10"/>
    </row>
    <row r="21" spans="1:23" x14ac:dyDescent="0.2">
      <c r="F21" s="12"/>
      <c r="J21" s="16"/>
      <c r="K21" s="28"/>
      <c r="L21" s="16"/>
    </row>
    <row r="22" spans="1:23" x14ac:dyDescent="0.2">
      <c r="B22" s="41" t="s">
        <v>48</v>
      </c>
      <c r="C22" s="41"/>
      <c r="D22" s="41"/>
      <c r="J22" s="16"/>
      <c r="K22" s="28"/>
    </row>
    <row r="23" spans="1:23" x14ac:dyDescent="0.2">
      <c r="B23" s="26" t="s">
        <v>43</v>
      </c>
      <c r="D23" s="26" t="s">
        <v>42</v>
      </c>
      <c r="G23" s="17"/>
      <c r="J23" s="5"/>
      <c r="K23" s="29"/>
      <c r="M23" s="40" t="s">
        <v>10</v>
      </c>
      <c r="N23" s="40"/>
      <c r="Q23" s="4" t="s">
        <v>38</v>
      </c>
      <c r="R23" s="4" t="s">
        <v>32</v>
      </c>
      <c r="S23" s="16" t="s">
        <v>10</v>
      </c>
      <c r="T23" s="4" t="s">
        <v>32</v>
      </c>
    </row>
    <row r="24" spans="1:23" x14ac:dyDescent="0.2">
      <c r="A24" s="4" t="s">
        <v>45</v>
      </c>
      <c r="B24" s="4" t="s">
        <v>44</v>
      </c>
      <c r="C24" s="4" t="s">
        <v>5</v>
      </c>
      <c r="D24" s="4" t="s">
        <v>83</v>
      </c>
      <c r="E24" s="32" t="s">
        <v>2</v>
      </c>
      <c r="F24" s="4" t="s">
        <v>3</v>
      </c>
      <c r="G24" s="4" t="s">
        <v>4</v>
      </c>
      <c r="J24" s="5"/>
      <c r="K24" s="29"/>
      <c r="M24" s="4" t="s">
        <v>11</v>
      </c>
      <c r="N24" s="4" t="s">
        <v>12</v>
      </c>
      <c r="P24" s="4" t="s">
        <v>5</v>
      </c>
      <c r="Q24" s="4" t="s">
        <v>33</v>
      </c>
      <c r="R24" s="4" t="s">
        <v>34</v>
      </c>
      <c r="S24" s="16" t="s">
        <v>13</v>
      </c>
      <c r="T24" s="4" t="s">
        <v>37</v>
      </c>
    </row>
    <row r="25" spans="1:23" x14ac:dyDescent="0.2">
      <c r="A25" s="6">
        <v>1993</v>
      </c>
      <c r="B25" s="23">
        <v>4963</v>
      </c>
      <c r="C25" s="9">
        <f>IF(A25="","",A25)</f>
        <v>1993</v>
      </c>
      <c r="D25" s="24">
        <f>IF(A25="","",LN(C25))</f>
        <v>7.5973963202127948</v>
      </c>
      <c r="E25" s="21">
        <f>IF(A25="","",$N$17+$N$18*D25)</f>
        <v>4923.5469983642688</v>
      </c>
      <c r="F25" s="21">
        <f>IF(A25="","",IF(B25="",NA(),B25-E25))</f>
        <v>39.453001635731198</v>
      </c>
      <c r="G25" s="21">
        <f>IF(A25="","",IF(B25="",NA(),F25^2))</f>
        <v>1556.5393380690086</v>
      </c>
      <c r="H25" s="21"/>
      <c r="J25" s="5"/>
      <c r="K25" s="29"/>
      <c r="M25" s="15">
        <f>-$I$3</f>
        <v>-216.50376938593814</v>
      </c>
      <c r="N25" s="15">
        <f>$I$3</f>
        <v>216.50376938593814</v>
      </c>
      <c r="P25" s="9">
        <v>1</v>
      </c>
      <c r="Q25" s="20">
        <f>ABS(F25)</f>
        <v>39.453001635731198</v>
      </c>
      <c r="R25" s="20">
        <f>F25^2</f>
        <v>1556.5393380690086</v>
      </c>
      <c r="S25" s="5">
        <f t="shared" ref="S25:S56" si="0">IF(C25&gt;$C$15,0,IF(ABS(G25)&gt;=$I$3,1,0))</f>
        <v>0</v>
      </c>
      <c r="T25">
        <f>SUM($S$26:S26)</f>
        <v>0</v>
      </c>
    </row>
    <row r="26" spans="1:23" x14ac:dyDescent="0.2">
      <c r="A26" s="6">
        <v>2005</v>
      </c>
      <c r="B26" s="23">
        <v>5039</v>
      </c>
      <c r="C26" s="9">
        <f t="shared" ref="C26:C89" si="1">IF(A26="","",A26)</f>
        <v>2005</v>
      </c>
      <c r="D26" s="24">
        <f t="shared" ref="D26:D89" si="2">IF(A26="","",LN(C26))</f>
        <v>7.6033993397406698</v>
      </c>
      <c r="E26" s="21">
        <f t="shared" ref="E26:E89" si="3">IF(A26="","",$N$17+$N$18*D26)</f>
        <v>5163.158508374996</v>
      </c>
      <c r="F26" s="21">
        <f t="shared" ref="F26:F89" si="4">IF(A26="","",IF(B26="",NA(),B26-E26))</f>
        <v>-124.15850837499602</v>
      </c>
      <c r="G26" s="21">
        <f t="shared" ref="G26:G89" si="5">IF(A26="","",IF(B26="",NA(),F26^2))</f>
        <v>15415.335201903956</v>
      </c>
      <c r="H26" s="21"/>
      <c r="J26" s="5"/>
      <c r="K26" s="29"/>
      <c r="M26" s="15">
        <f t="shared" ref="M26:M89" si="6">-$I$3</f>
        <v>-216.50376938593814</v>
      </c>
      <c r="N26" s="15">
        <f t="shared" ref="N26:N89" si="7">$I$3</f>
        <v>216.50376938593814</v>
      </c>
      <c r="P26" s="9">
        <v>2</v>
      </c>
      <c r="Q26" s="20">
        <f>IF(B26="",0,+Q25+ABS(F26))</f>
        <v>163.61151001072722</v>
      </c>
      <c r="R26" s="20">
        <f>IF(B26="",0,+R25+F26^2)</f>
        <v>16971.874539972963</v>
      </c>
      <c r="S26" s="5">
        <f t="shared" si="0"/>
        <v>0</v>
      </c>
      <c r="T26">
        <f>SUM($S$26:S27)</f>
        <v>0</v>
      </c>
    </row>
    <row r="27" spans="1:23" x14ac:dyDescent="0.2">
      <c r="A27" s="6">
        <v>2007</v>
      </c>
      <c r="B27" s="23">
        <v>5257</v>
      </c>
      <c r="C27" s="9">
        <f t="shared" si="1"/>
        <v>2007</v>
      </c>
      <c r="D27" s="24">
        <f t="shared" si="2"/>
        <v>7.604396348796338</v>
      </c>
      <c r="E27" s="21">
        <f t="shared" si="3"/>
        <v>5202.9542885175906</v>
      </c>
      <c r="F27" s="21">
        <f t="shared" si="4"/>
        <v>54.045711482409388</v>
      </c>
      <c r="G27" s="21">
        <f t="shared" si="5"/>
        <v>2920.9389296398381</v>
      </c>
      <c r="H27" s="21"/>
      <c r="J27" s="5"/>
      <c r="K27" s="29"/>
      <c r="M27" s="15">
        <f t="shared" si="6"/>
        <v>-216.50376938593814</v>
      </c>
      <c r="N27" s="15">
        <f t="shared" si="7"/>
        <v>216.50376938593814</v>
      </c>
      <c r="P27" s="9">
        <v>3</v>
      </c>
      <c r="Q27" s="20">
        <f t="shared" ref="Q27:Q90" si="8">IF(B27="",0,+Q26+ABS(F27))</f>
        <v>217.6572214931366</v>
      </c>
      <c r="R27" s="20">
        <f t="shared" ref="R27:R90" si="9">IF(B27="",0,+R26+F27^2)</f>
        <v>19892.8134696128</v>
      </c>
      <c r="S27" s="5">
        <f t="shared" si="0"/>
        <v>0</v>
      </c>
      <c r="T27">
        <f>SUM($S$26:S28)</f>
        <v>0</v>
      </c>
    </row>
    <row r="28" spans="1:23" x14ac:dyDescent="0.2">
      <c r="A28" s="6">
        <v>2017</v>
      </c>
      <c r="B28" s="23">
        <v>5432</v>
      </c>
      <c r="C28" s="9">
        <f t="shared" si="1"/>
        <v>2017</v>
      </c>
      <c r="D28" s="24">
        <f t="shared" si="2"/>
        <v>7.6093665379542115</v>
      </c>
      <c r="E28" s="21">
        <f t="shared" si="3"/>
        <v>5401.3402047430864</v>
      </c>
      <c r="F28" s="21">
        <f t="shared" si="4"/>
        <v>30.65979525691364</v>
      </c>
      <c r="G28" s="21">
        <f t="shared" si="5"/>
        <v>940.02304519586414</v>
      </c>
      <c r="H28" s="21"/>
      <c r="J28" s="5"/>
      <c r="K28" s="29"/>
      <c r="M28" s="15">
        <f t="shared" si="6"/>
        <v>-216.50376938593814</v>
      </c>
      <c r="N28" s="15">
        <f t="shared" si="7"/>
        <v>216.50376938593814</v>
      </c>
      <c r="P28" s="9">
        <v>4</v>
      </c>
      <c r="Q28" s="20">
        <f t="shared" si="8"/>
        <v>248.31701675005024</v>
      </c>
      <c r="R28" s="20">
        <f t="shared" si="9"/>
        <v>20832.836514808663</v>
      </c>
      <c r="S28" s="5">
        <f t="shared" si="0"/>
        <v>0</v>
      </c>
      <c r="T28">
        <f>SUM($S$26:S29)</f>
        <v>0</v>
      </c>
    </row>
    <row r="29" spans="1:23" x14ac:dyDescent="0.2">
      <c r="A29" s="38">
        <v>2026</v>
      </c>
      <c r="B29" s="23"/>
      <c r="C29" s="9">
        <f t="shared" si="1"/>
        <v>2026</v>
      </c>
      <c r="D29" s="24">
        <f t="shared" si="2"/>
        <v>7.6138186848086287</v>
      </c>
      <c r="E29" s="37">
        <f t="shared" si="3"/>
        <v>5579.0483773757005</v>
      </c>
      <c r="F29" s="21" t="e">
        <f t="shared" si="4"/>
        <v>#N/A</v>
      </c>
      <c r="G29" s="21" t="e">
        <f t="shared" si="5"/>
        <v>#N/A</v>
      </c>
      <c r="H29" s="21"/>
      <c r="J29" s="5"/>
      <c r="K29" s="29"/>
      <c r="M29" s="15">
        <f t="shared" si="6"/>
        <v>-216.50376938593814</v>
      </c>
      <c r="N29" s="15">
        <f t="shared" si="7"/>
        <v>216.50376938593814</v>
      </c>
      <c r="P29" s="9">
        <v>5</v>
      </c>
      <c r="Q29" s="20">
        <f t="shared" si="8"/>
        <v>0</v>
      </c>
      <c r="R29" s="20">
        <f t="shared" si="9"/>
        <v>0</v>
      </c>
      <c r="S29" s="5">
        <f t="shared" si="0"/>
        <v>0</v>
      </c>
      <c r="T29">
        <f>SUM($S$26:S30)</f>
        <v>0</v>
      </c>
    </row>
    <row r="30" spans="1:23" x14ac:dyDescent="0.2">
      <c r="A30" s="38">
        <v>2036</v>
      </c>
      <c r="B30" s="23"/>
      <c r="C30" s="9">
        <f t="shared" si="1"/>
        <v>2036</v>
      </c>
      <c r="D30" s="24">
        <f t="shared" si="2"/>
        <v>7.6187423776704133</v>
      </c>
      <c r="E30" s="37">
        <f t="shared" si="3"/>
        <v>5775.5783863092074</v>
      </c>
      <c r="F30" s="21" t="e">
        <f t="shared" si="4"/>
        <v>#N/A</v>
      </c>
      <c r="G30" s="21" t="e">
        <f t="shared" si="5"/>
        <v>#N/A</v>
      </c>
      <c r="H30" s="21"/>
      <c r="J30" s="5"/>
      <c r="K30" s="29"/>
      <c r="M30" s="15">
        <f t="shared" si="6"/>
        <v>-216.50376938593814</v>
      </c>
      <c r="N30" s="15">
        <f t="shared" si="7"/>
        <v>216.50376938593814</v>
      </c>
      <c r="P30" s="9">
        <v>6</v>
      </c>
      <c r="Q30" s="20">
        <f t="shared" si="8"/>
        <v>0</v>
      </c>
      <c r="R30" s="20">
        <f t="shared" si="9"/>
        <v>0</v>
      </c>
      <c r="S30" s="5">
        <f t="shared" si="0"/>
        <v>0</v>
      </c>
      <c r="T30">
        <f>SUM($S$26:S31)</f>
        <v>0</v>
      </c>
    </row>
    <row r="31" spans="1:23" x14ac:dyDescent="0.2">
      <c r="A31" s="38">
        <v>2046</v>
      </c>
      <c r="B31" s="23"/>
      <c r="C31" s="9">
        <f t="shared" si="1"/>
        <v>2046</v>
      </c>
      <c r="D31" s="24">
        <f t="shared" si="2"/>
        <v>7.6236419465115715</v>
      </c>
      <c r="E31" s="37">
        <f t="shared" si="3"/>
        <v>5971.1454809987918</v>
      </c>
      <c r="F31" s="21" t="e">
        <f t="shared" si="4"/>
        <v>#N/A</v>
      </c>
      <c r="G31" s="21" t="e">
        <f t="shared" si="5"/>
        <v>#N/A</v>
      </c>
      <c r="H31" s="21"/>
      <c r="J31" s="5"/>
      <c r="K31" s="29"/>
      <c r="M31" s="15">
        <f t="shared" si="6"/>
        <v>-216.50376938593814</v>
      </c>
      <c r="N31" s="15">
        <f t="shared" si="7"/>
        <v>216.50376938593814</v>
      </c>
      <c r="P31" s="9">
        <v>7</v>
      </c>
      <c r="Q31" s="20">
        <f t="shared" si="8"/>
        <v>0</v>
      </c>
      <c r="R31" s="20">
        <f t="shared" si="9"/>
        <v>0</v>
      </c>
      <c r="S31" s="5">
        <f t="shared" si="0"/>
        <v>0</v>
      </c>
      <c r="T31">
        <f>SUM($S$26:S32)</f>
        <v>0</v>
      </c>
    </row>
    <row r="32" spans="1:23" x14ac:dyDescent="0.2">
      <c r="A32" s="6"/>
      <c r="B32" s="23"/>
      <c r="C32" s="9" t="str">
        <f t="shared" si="1"/>
        <v/>
      </c>
      <c r="D32" s="24" t="str">
        <f t="shared" si="2"/>
        <v/>
      </c>
      <c r="E32" s="21" t="str">
        <f t="shared" si="3"/>
        <v/>
      </c>
      <c r="F32" s="21" t="str">
        <f t="shared" si="4"/>
        <v/>
      </c>
      <c r="G32" s="21" t="str">
        <f t="shared" si="5"/>
        <v/>
      </c>
      <c r="H32" s="21" t="str">
        <f t="shared" ref="H32:H88" si="10">IF(A32="","",IF(B32="",NA(),G32^2))</f>
        <v/>
      </c>
      <c r="J32" s="5"/>
      <c r="K32" s="29"/>
      <c r="M32" s="15">
        <f t="shared" si="6"/>
        <v>-216.50376938593814</v>
      </c>
      <c r="N32" s="15">
        <f t="shared" si="7"/>
        <v>216.50376938593814</v>
      </c>
      <c r="P32" s="9">
        <v>8</v>
      </c>
      <c r="Q32" s="20">
        <f t="shared" si="8"/>
        <v>0</v>
      </c>
      <c r="R32" s="20">
        <f t="shared" si="9"/>
        <v>0</v>
      </c>
      <c r="S32" s="5">
        <f t="shared" si="0"/>
        <v>0</v>
      </c>
      <c r="T32">
        <f>SUM($S$26:S33)</f>
        <v>0</v>
      </c>
    </row>
    <row r="33" spans="1:20" x14ac:dyDescent="0.2">
      <c r="A33" s="6"/>
      <c r="B33" s="23"/>
      <c r="C33" s="9" t="str">
        <f t="shared" si="1"/>
        <v/>
      </c>
      <c r="D33" s="24" t="str">
        <f t="shared" si="2"/>
        <v/>
      </c>
      <c r="E33" s="21" t="str">
        <f t="shared" si="3"/>
        <v/>
      </c>
      <c r="F33" s="21" t="str">
        <f t="shared" si="4"/>
        <v/>
      </c>
      <c r="G33" s="21" t="str">
        <f t="shared" si="5"/>
        <v/>
      </c>
      <c r="H33" s="21" t="str">
        <f t="shared" si="10"/>
        <v/>
      </c>
      <c r="J33" s="5"/>
      <c r="K33" s="29"/>
      <c r="M33" s="15">
        <f t="shared" si="6"/>
        <v>-216.50376938593814</v>
      </c>
      <c r="N33" s="15">
        <f t="shared" si="7"/>
        <v>216.50376938593814</v>
      </c>
      <c r="P33" s="9">
        <v>9</v>
      </c>
      <c r="Q33" s="20">
        <f t="shared" si="8"/>
        <v>0</v>
      </c>
      <c r="R33" s="20">
        <f t="shared" si="9"/>
        <v>0</v>
      </c>
      <c r="S33" s="5">
        <f t="shared" si="0"/>
        <v>0</v>
      </c>
      <c r="T33">
        <f>SUM($S$26:S34)</f>
        <v>0</v>
      </c>
    </row>
    <row r="34" spans="1:20" x14ac:dyDescent="0.2">
      <c r="A34" s="6"/>
      <c r="B34" s="23"/>
      <c r="C34" s="9" t="str">
        <f t="shared" si="1"/>
        <v/>
      </c>
      <c r="D34" s="24" t="str">
        <f t="shared" si="2"/>
        <v/>
      </c>
      <c r="E34" s="21" t="str">
        <f t="shared" si="3"/>
        <v/>
      </c>
      <c r="F34" s="21" t="str">
        <f t="shared" si="4"/>
        <v/>
      </c>
      <c r="G34" s="21" t="str">
        <f t="shared" si="5"/>
        <v/>
      </c>
      <c r="H34" s="21" t="str">
        <f t="shared" si="10"/>
        <v/>
      </c>
      <c r="J34" s="5"/>
      <c r="K34" s="29"/>
      <c r="M34" s="15">
        <f t="shared" si="6"/>
        <v>-216.50376938593814</v>
      </c>
      <c r="N34" s="15">
        <f t="shared" si="7"/>
        <v>216.50376938593814</v>
      </c>
      <c r="P34" s="9">
        <v>10</v>
      </c>
      <c r="Q34" s="20">
        <f t="shared" si="8"/>
        <v>0</v>
      </c>
      <c r="R34" s="20">
        <f t="shared" si="9"/>
        <v>0</v>
      </c>
      <c r="S34" s="5">
        <f t="shared" si="0"/>
        <v>0</v>
      </c>
      <c r="T34">
        <f>SUM($S$26:S35)</f>
        <v>0</v>
      </c>
    </row>
    <row r="35" spans="1:20" x14ac:dyDescent="0.2">
      <c r="A35" s="6"/>
      <c r="B35" s="23"/>
      <c r="C35" s="9" t="str">
        <f t="shared" si="1"/>
        <v/>
      </c>
      <c r="D35" s="24" t="str">
        <f t="shared" si="2"/>
        <v/>
      </c>
      <c r="E35" s="21" t="str">
        <f t="shared" si="3"/>
        <v/>
      </c>
      <c r="F35" s="21" t="str">
        <f t="shared" si="4"/>
        <v/>
      </c>
      <c r="G35" s="21" t="str">
        <f t="shared" si="5"/>
        <v/>
      </c>
      <c r="H35" s="21" t="str">
        <f t="shared" si="10"/>
        <v/>
      </c>
      <c r="J35" s="5"/>
      <c r="K35" s="29"/>
      <c r="M35" s="15">
        <f t="shared" si="6"/>
        <v>-216.50376938593814</v>
      </c>
      <c r="N35" s="15">
        <f t="shared" si="7"/>
        <v>216.50376938593814</v>
      </c>
      <c r="P35" s="9">
        <v>11</v>
      </c>
      <c r="Q35" s="20">
        <f t="shared" si="8"/>
        <v>0</v>
      </c>
      <c r="R35" s="20">
        <f t="shared" si="9"/>
        <v>0</v>
      </c>
      <c r="S35" s="5">
        <f t="shared" si="0"/>
        <v>0</v>
      </c>
      <c r="T35">
        <f>SUM($S$26:S36)</f>
        <v>0</v>
      </c>
    </row>
    <row r="36" spans="1:20" x14ac:dyDescent="0.2">
      <c r="A36" s="6"/>
      <c r="B36" s="23"/>
      <c r="C36" s="9" t="str">
        <f t="shared" si="1"/>
        <v/>
      </c>
      <c r="D36" s="24" t="str">
        <f t="shared" si="2"/>
        <v/>
      </c>
      <c r="E36" s="21" t="str">
        <f t="shared" si="3"/>
        <v/>
      </c>
      <c r="F36" s="21" t="str">
        <f t="shared" si="4"/>
        <v/>
      </c>
      <c r="G36" s="21" t="str">
        <f t="shared" si="5"/>
        <v/>
      </c>
      <c r="H36" s="21" t="str">
        <f t="shared" si="10"/>
        <v/>
      </c>
      <c r="J36" s="5"/>
      <c r="K36" s="29"/>
      <c r="M36" s="15">
        <f t="shared" si="6"/>
        <v>-216.50376938593814</v>
      </c>
      <c r="N36" s="15">
        <f t="shared" si="7"/>
        <v>216.50376938593814</v>
      </c>
      <c r="P36" s="9">
        <v>12</v>
      </c>
      <c r="Q36" s="20">
        <f t="shared" si="8"/>
        <v>0</v>
      </c>
      <c r="R36" s="20">
        <f t="shared" si="9"/>
        <v>0</v>
      </c>
      <c r="S36" s="5">
        <f t="shared" si="0"/>
        <v>0</v>
      </c>
      <c r="T36">
        <f>SUM($S$26:S37)</f>
        <v>0</v>
      </c>
    </row>
    <row r="37" spans="1:20" x14ac:dyDescent="0.2">
      <c r="A37" s="6"/>
      <c r="B37" s="23"/>
      <c r="C37" s="9" t="str">
        <f t="shared" si="1"/>
        <v/>
      </c>
      <c r="D37" s="24" t="str">
        <f t="shared" si="2"/>
        <v/>
      </c>
      <c r="E37" s="21" t="str">
        <f t="shared" si="3"/>
        <v/>
      </c>
      <c r="F37" s="21" t="str">
        <f t="shared" si="4"/>
        <v/>
      </c>
      <c r="G37" s="21" t="str">
        <f t="shared" si="5"/>
        <v/>
      </c>
      <c r="H37" s="21" t="str">
        <f t="shared" si="10"/>
        <v/>
      </c>
      <c r="J37" s="5"/>
      <c r="K37" s="29"/>
      <c r="M37" s="15">
        <f t="shared" si="6"/>
        <v>-216.50376938593814</v>
      </c>
      <c r="N37" s="15">
        <f t="shared" si="7"/>
        <v>216.50376938593814</v>
      </c>
      <c r="P37" s="9">
        <v>13</v>
      </c>
      <c r="Q37" s="20">
        <f t="shared" si="8"/>
        <v>0</v>
      </c>
      <c r="R37" s="20">
        <f t="shared" si="9"/>
        <v>0</v>
      </c>
      <c r="S37" s="5">
        <f t="shared" si="0"/>
        <v>0</v>
      </c>
      <c r="T37">
        <f>SUM($S$26:S38)</f>
        <v>0</v>
      </c>
    </row>
    <row r="38" spans="1:20" x14ac:dyDescent="0.2">
      <c r="A38" s="6"/>
      <c r="B38" s="23"/>
      <c r="C38" s="9" t="str">
        <f t="shared" si="1"/>
        <v/>
      </c>
      <c r="D38" s="24" t="str">
        <f t="shared" si="2"/>
        <v/>
      </c>
      <c r="E38" s="21" t="str">
        <f t="shared" si="3"/>
        <v/>
      </c>
      <c r="F38" s="21" t="str">
        <f t="shared" si="4"/>
        <v/>
      </c>
      <c r="G38" s="21" t="str">
        <f t="shared" si="5"/>
        <v/>
      </c>
      <c r="H38" s="21" t="str">
        <f t="shared" si="10"/>
        <v/>
      </c>
      <c r="J38" s="5"/>
      <c r="K38" s="29"/>
      <c r="M38" s="15">
        <f t="shared" si="6"/>
        <v>-216.50376938593814</v>
      </c>
      <c r="N38" s="15">
        <f t="shared" si="7"/>
        <v>216.50376938593814</v>
      </c>
      <c r="P38" s="9">
        <v>14</v>
      </c>
      <c r="Q38" s="20">
        <f t="shared" si="8"/>
        <v>0</v>
      </c>
      <c r="R38" s="20">
        <f t="shared" si="9"/>
        <v>0</v>
      </c>
      <c r="S38" s="5">
        <f t="shared" si="0"/>
        <v>0</v>
      </c>
      <c r="T38">
        <f>SUM($S$26:S39)</f>
        <v>0</v>
      </c>
    </row>
    <row r="39" spans="1:20" x14ac:dyDescent="0.2">
      <c r="A39" s="6"/>
      <c r="B39" s="23"/>
      <c r="C39" s="9" t="str">
        <f t="shared" si="1"/>
        <v/>
      </c>
      <c r="D39" s="24" t="str">
        <f t="shared" si="2"/>
        <v/>
      </c>
      <c r="E39" s="21" t="str">
        <f t="shared" si="3"/>
        <v/>
      </c>
      <c r="F39" s="21" t="str">
        <f t="shared" si="4"/>
        <v/>
      </c>
      <c r="G39" s="21" t="str">
        <f t="shared" si="5"/>
        <v/>
      </c>
      <c r="H39" s="21" t="str">
        <f t="shared" si="10"/>
        <v/>
      </c>
      <c r="J39" s="5"/>
      <c r="K39" s="29"/>
      <c r="M39" s="15">
        <f t="shared" si="6"/>
        <v>-216.50376938593814</v>
      </c>
      <c r="N39" s="15">
        <f t="shared" si="7"/>
        <v>216.50376938593814</v>
      </c>
      <c r="P39" s="9">
        <v>15</v>
      </c>
      <c r="Q39" s="20">
        <f t="shared" si="8"/>
        <v>0</v>
      </c>
      <c r="R39" s="20">
        <f t="shared" si="9"/>
        <v>0</v>
      </c>
      <c r="S39" s="5">
        <f t="shared" si="0"/>
        <v>0</v>
      </c>
      <c r="T39">
        <f>SUM($S$26:S40)</f>
        <v>0</v>
      </c>
    </row>
    <row r="40" spans="1:20" x14ac:dyDescent="0.2">
      <c r="A40" s="6"/>
      <c r="B40" s="23"/>
      <c r="C40" s="9" t="str">
        <f t="shared" si="1"/>
        <v/>
      </c>
      <c r="D40" s="24" t="str">
        <f t="shared" si="2"/>
        <v/>
      </c>
      <c r="E40" s="21" t="str">
        <f t="shared" si="3"/>
        <v/>
      </c>
      <c r="F40" s="21" t="str">
        <f t="shared" si="4"/>
        <v/>
      </c>
      <c r="G40" s="21" t="str">
        <f t="shared" si="5"/>
        <v/>
      </c>
      <c r="H40" s="21" t="str">
        <f t="shared" si="10"/>
        <v/>
      </c>
      <c r="J40" s="5"/>
      <c r="K40" s="29"/>
      <c r="M40" s="15">
        <f t="shared" si="6"/>
        <v>-216.50376938593814</v>
      </c>
      <c r="N40" s="15">
        <f t="shared" si="7"/>
        <v>216.50376938593814</v>
      </c>
      <c r="P40" s="9">
        <v>16</v>
      </c>
      <c r="Q40" s="20">
        <f t="shared" si="8"/>
        <v>0</v>
      </c>
      <c r="R40" s="20">
        <f t="shared" si="9"/>
        <v>0</v>
      </c>
      <c r="S40" s="5">
        <f t="shared" si="0"/>
        <v>0</v>
      </c>
      <c r="T40">
        <f>SUM($S$26:S41)</f>
        <v>0</v>
      </c>
    </row>
    <row r="41" spans="1:20" x14ac:dyDescent="0.2">
      <c r="A41" s="6"/>
      <c r="B41" s="22"/>
      <c r="C41" s="9" t="str">
        <f t="shared" si="1"/>
        <v/>
      </c>
      <c r="D41" s="24" t="str">
        <f t="shared" si="2"/>
        <v/>
      </c>
      <c r="E41" s="21" t="str">
        <f t="shared" si="3"/>
        <v/>
      </c>
      <c r="F41" s="21" t="str">
        <f t="shared" si="4"/>
        <v/>
      </c>
      <c r="G41" s="21" t="str">
        <f t="shared" si="5"/>
        <v/>
      </c>
      <c r="H41" s="21" t="str">
        <f t="shared" si="10"/>
        <v/>
      </c>
      <c r="J41" s="5"/>
      <c r="K41" s="29"/>
      <c r="M41" s="15">
        <f t="shared" si="6"/>
        <v>-216.50376938593814</v>
      </c>
      <c r="N41" s="15">
        <f t="shared" si="7"/>
        <v>216.50376938593814</v>
      </c>
      <c r="P41" s="9">
        <v>17</v>
      </c>
      <c r="Q41" s="20">
        <f t="shared" si="8"/>
        <v>0</v>
      </c>
      <c r="R41" s="20">
        <f t="shared" si="9"/>
        <v>0</v>
      </c>
      <c r="S41" s="5">
        <f t="shared" si="0"/>
        <v>0</v>
      </c>
      <c r="T41">
        <f>SUM($S$26:S42)</f>
        <v>0</v>
      </c>
    </row>
    <row r="42" spans="1:20" x14ac:dyDescent="0.2">
      <c r="A42" s="6"/>
      <c r="B42" s="22"/>
      <c r="C42" s="9" t="str">
        <f t="shared" si="1"/>
        <v/>
      </c>
      <c r="D42" s="24" t="str">
        <f t="shared" si="2"/>
        <v/>
      </c>
      <c r="E42" s="21" t="str">
        <f t="shared" si="3"/>
        <v/>
      </c>
      <c r="F42" s="21" t="str">
        <f t="shared" si="4"/>
        <v/>
      </c>
      <c r="G42" s="21" t="str">
        <f t="shared" si="5"/>
        <v/>
      </c>
      <c r="H42" s="21" t="str">
        <f t="shared" si="10"/>
        <v/>
      </c>
      <c r="J42" s="5"/>
      <c r="K42" s="29"/>
      <c r="M42" s="15">
        <f t="shared" si="6"/>
        <v>-216.50376938593814</v>
      </c>
      <c r="N42" s="15">
        <f t="shared" si="7"/>
        <v>216.50376938593814</v>
      </c>
      <c r="P42" s="9">
        <v>18</v>
      </c>
      <c r="Q42" s="20">
        <f t="shared" si="8"/>
        <v>0</v>
      </c>
      <c r="R42" s="20">
        <f t="shared" si="9"/>
        <v>0</v>
      </c>
      <c r="S42" s="5">
        <f t="shared" si="0"/>
        <v>0</v>
      </c>
      <c r="T42">
        <f>SUM($S$26:S43)</f>
        <v>0</v>
      </c>
    </row>
    <row r="43" spans="1:20" x14ac:dyDescent="0.2">
      <c r="A43" s="6"/>
      <c r="B43" s="22"/>
      <c r="C43" s="9" t="str">
        <f t="shared" si="1"/>
        <v/>
      </c>
      <c r="D43" s="24" t="str">
        <f t="shared" si="2"/>
        <v/>
      </c>
      <c r="E43" s="21" t="str">
        <f t="shared" si="3"/>
        <v/>
      </c>
      <c r="F43" s="21" t="str">
        <f t="shared" si="4"/>
        <v/>
      </c>
      <c r="G43" s="21" t="str">
        <f t="shared" si="5"/>
        <v/>
      </c>
      <c r="H43" s="21" t="str">
        <f t="shared" si="10"/>
        <v/>
      </c>
      <c r="J43" s="5"/>
      <c r="K43" s="29"/>
      <c r="M43" s="15">
        <f t="shared" si="6"/>
        <v>-216.50376938593814</v>
      </c>
      <c r="N43" s="15">
        <f t="shared" si="7"/>
        <v>216.50376938593814</v>
      </c>
      <c r="P43" s="9">
        <v>19</v>
      </c>
      <c r="Q43" s="20">
        <f t="shared" si="8"/>
        <v>0</v>
      </c>
      <c r="R43" s="20">
        <f t="shared" si="9"/>
        <v>0</v>
      </c>
      <c r="S43" s="5">
        <f t="shared" si="0"/>
        <v>0</v>
      </c>
      <c r="T43">
        <f>SUM($S$26:S44)</f>
        <v>0</v>
      </c>
    </row>
    <row r="44" spans="1:20" x14ac:dyDescent="0.2">
      <c r="A44" s="6"/>
      <c r="B44" s="22"/>
      <c r="C44" s="9" t="str">
        <f t="shared" si="1"/>
        <v/>
      </c>
      <c r="D44" s="24" t="str">
        <f t="shared" si="2"/>
        <v/>
      </c>
      <c r="E44" s="21" t="str">
        <f t="shared" si="3"/>
        <v/>
      </c>
      <c r="F44" s="21" t="str">
        <f t="shared" si="4"/>
        <v/>
      </c>
      <c r="G44" s="21" t="str">
        <f t="shared" si="5"/>
        <v/>
      </c>
      <c r="H44" s="21" t="str">
        <f t="shared" si="10"/>
        <v/>
      </c>
      <c r="J44" s="5"/>
      <c r="K44" s="29"/>
      <c r="M44" s="15">
        <f t="shared" si="6"/>
        <v>-216.50376938593814</v>
      </c>
      <c r="N44" s="15">
        <f t="shared" si="7"/>
        <v>216.50376938593814</v>
      </c>
      <c r="P44" s="9">
        <v>20</v>
      </c>
      <c r="Q44" s="20">
        <f t="shared" si="8"/>
        <v>0</v>
      </c>
      <c r="R44" s="20">
        <f t="shared" si="9"/>
        <v>0</v>
      </c>
      <c r="S44" s="5">
        <f t="shared" si="0"/>
        <v>0</v>
      </c>
      <c r="T44">
        <f>SUM($S$26:S45)</f>
        <v>0</v>
      </c>
    </row>
    <row r="45" spans="1:20" x14ac:dyDescent="0.2">
      <c r="A45" s="6"/>
      <c r="B45" s="22"/>
      <c r="C45" s="9" t="str">
        <f t="shared" si="1"/>
        <v/>
      </c>
      <c r="D45" s="24" t="str">
        <f t="shared" si="2"/>
        <v/>
      </c>
      <c r="E45" s="21" t="str">
        <f t="shared" si="3"/>
        <v/>
      </c>
      <c r="F45" s="21" t="str">
        <f t="shared" si="4"/>
        <v/>
      </c>
      <c r="G45" s="21" t="str">
        <f t="shared" si="5"/>
        <v/>
      </c>
      <c r="H45" s="21" t="str">
        <f t="shared" si="10"/>
        <v/>
      </c>
      <c r="J45" s="5"/>
      <c r="K45" s="29"/>
      <c r="M45" s="15">
        <f t="shared" si="6"/>
        <v>-216.50376938593814</v>
      </c>
      <c r="N45" s="15">
        <f t="shared" si="7"/>
        <v>216.50376938593814</v>
      </c>
      <c r="P45" s="9">
        <v>21</v>
      </c>
      <c r="Q45" s="20">
        <f t="shared" si="8"/>
        <v>0</v>
      </c>
      <c r="R45" s="20">
        <f t="shared" si="9"/>
        <v>0</v>
      </c>
      <c r="S45" s="5">
        <f t="shared" si="0"/>
        <v>0</v>
      </c>
      <c r="T45">
        <f>SUM($S$26:S46)</f>
        <v>0</v>
      </c>
    </row>
    <row r="46" spans="1:20" x14ac:dyDescent="0.2">
      <c r="A46" s="6"/>
      <c r="B46" s="7"/>
      <c r="C46" s="9" t="str">
        <f t="shared" si="1"/>
        <v/>
      </c>
      <c r="D46" s="24" t="str">
        <f t="shared" si="2"/>
        <v/>
      </c>
      <c r="E46" s="21" t="str">
        <f t="shared" si="3"/>
        <v/>
      </c>
      <c r="F46" s="21" t="str">
        <f t="shared" si="4"/>
        <v/>
      </c>
      <c r="G46" s="21" t="str">
        <f t="shared" si="5"/>
        <v/>
      </c>
      <c r="H46" s="21" t="str">
        <f t="shared" si="10"/>
        <v/>
      </c>
      <c r="J46" s="5"/>
      <c r="K46" s="29"/>
      <c r="M46" s="15">
        <f t="shared" si="6"/>
        <v>-216.50376938593814</v>
      </c>
      <c r="N46" s="15">
        <f t="shared" si="7"/>
        <v>216.50376938593814</v>
      </c>
      <c r="P46" s="9">
        <v>22</v>
      </c>
      <c r="Q46" s="20">
        <f t="shared" si="8"/>
        <v>0</v>
      </c>
      <c r="R46" s="20">
        <f t="shared" si="9"/>
        <v>0</v>
      </c>
      <c r="S46" s="5">
        <f t="shared" si="0"/>
        <v>0</v>
      </c>
      <c r="T46">
        <f>SUM($S$26:S47)</f>
        <v>0</v>
      </c>
    </row>
    <row r="47" spans="1:20" x14ac:dyDescent="0.2">
      <c r="A47" s="6"/>
      <c r="B47" s="7"/>
      <c r="C47" s="9" t="str">
        <f t="shared" si="1"/>
        <v/>
      </c>
      <c r="D47" s="24" t="str">
        <f t="shared" si="2"/>
        <v/>
      </c>
      <c r="E47" s="21" t="str">
        <f t="shared" si="3"/>
        <v/>
      </c>
      <c r="F47" s="21" t="str">
        <f t="shared" si="4"/>
        <v/>
      </c>
      <c r="G47" s="21" t="str">
        <f t="shared" si="5"/>
        <v/>
      </c>
      <c r="H47" s="21" t="str">
        <f t="shared" si="10"/>
        <v/>
      </c>
      <c r="J47" s="5"/>
      <c r="K47" s="29"/>
      <c r="M47" s="15">
        <f t="shared" si="6"/>
        <v>-216.50376938593814</v>
      </c>
      <c r="N47" s="15">
        <f t="shared" si="7"/>
        <v>216.50376938593814</v>
      </c>
      <c r="P47" s="9">
        <v>23</v>
      </c>
      <c r="Q47" s="20">
        <f t="shared" si="8"/>
        <v>0</v>
      </c>
      <c r="R47" s="20">
        <f t="shared" si="9"/>
        <v>0</v>
      </c>
      <c r="S47" s="5">
        <f t="shared" si="0"/>
        <v>0</v>
      </c>
      <c r="T47">
        <f>SUM($S$26:S48)</f>
        <v>0</v>
      </c>
    </row>
    <row r="48" spans="1:20" x14ac:dyDescent="0.2">
      <c r="A48" s="6"/>
      <c r="B48" s="7"/>
      <c r="C48" s="9" t="str">
        <f t="shared" si="1"/>
        <v/>
      </c>
      <c r="D48" s="24" t="str">
        <f t="shared" si="2"/>
        <v/>
      </c>
      <c r="E48" s="21" t="str">
        <f t="shared" si="3"/>
        <v/>
      </c>
      <c r="F48" s="21" t="str">
        <f t="shared" si="4"/>
        <v/>
      </c>
      <c r="G48" s="21" t="str">
        <f t="shared" si="5"/>
        <v/>
      </c>
      <c r="H48" s="21" t="str">
        <f t="shared" si="10"/>
        <v/>
      </c>
      <c r="J48" s="5"/>
      <c r="K48" s="29"/>
      <c r="M48" s="15">
        <f t="shared" si="6"/>
        <v>-216.50376938593814</v>
      </c>
      <c r="N48" s="15">
        <f t="shared" si="7"/>
        <v>216.50376938593814</v>
      </c>
      <c r="P48" s="9">
        <v>24</v>
      </c>
      <c r="Q48" s="20">
        <f t="shared" si="8"/>
        <v>0</v>
      </c>
      <c r="R48" s="20">
        <f t="shared" si="9"/>
        <v>0</v>
      </c>
      <c r="S48" s="5">
        <f t="shared" si="0"/>
        <v>0</v>
      </c>
      <c r="T48">
        <f>SUM($S$26:S49)</f>
        <v>0</v>
      </c>
    </row>
    <row r="49" spans="1:20" x14ac:dyDescent="0.2">
      <c r="A49" s="6"/>
      <c r="B49" s="7"/>
      <c r="C49" s="9" t="str">
        <f t="shared" si="1"/>
        <v/>
      </c>
      <c r="D49" s="24" t="str">
        <f t="shared" si="2"/>
        <v/>
      </c>
      <c r="E49" s="21" t="str">
        <f t="shared" si="3"/>
        <v/>
      </c>
      <c r="F49" s="21" t="str">
        <f t="shared" si="4"/>
        <v/>
      </c>
      <c r="G49" s="21" t="str">
        <f t="shared" si="5"/>
        <v/>
      </c>
      <c r="H49" s="21" t="str">
        <f t="shared" si="10"/>
        <v/>
      </c>
      <c r="J49" s="5"/>
      <c r="K49" s="29"/>
      <c r="M49" s="15">
        <f t="shared" si="6"/>
        <v>-216.50376938593814</v>
      </c>
      <c r="N49" s="15">
        <f t="shared" si="7"/>
        <v>216.50376938593814</v>
      </c>
      <c r="P49" s="9">
        <v>25</v>
      </c>
      <c r="Q49" s="20">
        <f t="shared" si="8"/>
        <v>0</v>
      </c>
      <c r="R49" s="20">
        <f t="shared" si="9"/>
        <v>0</v>
      </c>
      <c r="S49" s="5">
        <f t="shared" si="0"/>
        <v>0</v>
      </c>
      <c r="T49">
        <f>SUM($S$26:S50)</f>
        <v>0</v>
      </c>
    </row>
    <row r="50" spans="1:20" x14ac:dyDescent="0.2">
      <c r="A50" s="6"/>
      <c r="B50" s="7"/>
      <c r="C50" s="9" t="str">
        <f t="shared" si="1"/>
        <v/>
      </c>
      <c r="D50" s="24" t="str">
        <f t="shared" si="2"/>
        <v/>
      </c>
      <c r="E50" s="21" t="str">
        <f t="shared" si="3"/>
        <v/>
      </c>
      <c r="F50" s="21" t="str">
        <f t="shared" si="4"/>
        <v/>
      </c>
      <c r="G50" s="21" t="str">
        <f t="shared" si="5"/>
        <v/>
      </c>
      <c r="H50" s="21" t="str">
        <f t="shared" si="10"/>
        <v/>
      </c>
      <c r="J50" s="5"/>
      <c r="K50" s="29"/>
      <c r="M50" s="15">
        <f t="shared" si="6"/>
        <v>-216.50376938593814</v>
      </c>
      <c r="N50" s="15">
        <f t="shared" si="7"/>
        <v>216.50376938593814</v>
      </c>
      <c r="P50" s="9">
        <v>26</v>
      </c>
      <c r="Q50" s="20">
        <f t="shared" si="8"/>
        <v>0</v>
      </c>
      <c r="R50" s="20">
        <f t="shared" si="9"/>
        <v>0</v>
      </c>
      <c r="S50" s="5">
        <f t="shared" si="0"/>
        <v>0</v>
      </c>
      <c r="T50">
        <f>SUM($S$26:S51)</f>
        <v>0</v>
      </c>
    </row>
    <row r="51" spans="1:20" x14ac:dyDescent="0.2">
      <c r="A51" s="6"/>
      <c r="B51" s="7"/>
      <c r="C51" s="9" t="str">
        <f t="shared" si="1"/>
        <v/>
      </c>
      <c r="D51" s="24" t="str">
        <f t="shared" si="2"/>
        <v/>
      </c>
      <c r="E51" s="21" t="str">
        <f t="shared" si="3"/>
        <v/>
      </c>
      <c r="F51" s="21" t="str">
        <f t="shared" si="4"/>
        <v/>
      </c>
      <c r="G51" s="21" t="str">
        <f t="shared" si="5"/>
        <v/>
      </c>
      <c r="H51" s="21" t="str">
        <f t="shared" si="10"/>
        <v/>
      </c>
      <c r="J51" s="5"/>
      <c r="K51" s="29"/>
      <c r="M51" s="15">
        <f t="shared" si="6"/>
        <v>-216.50376938593814</v>
      </c>
      <c r="N51" s="15">
        <f t="shared" si="7"/>
        <v>216.50376938593814</v>
      </c>
      <c r="P51" s="9">
        <v>27</v>
      </c>
      <c r="Q51" s="20">
        <f t="shared" si="8"/>
        <v>0</v>
      </c>
      <c r="R51" s="20">
        <f t="shared" si="9"/>
        <v>0</v>
      </c>
      <c r="S51" s="5">
        <f t="shared" si="0"/>
        <v>0</v>
      </c>
      <c r="T51">
        <f>SUM($S$26:S52)</f>
        <v>0</v>
      </c>
    </row>
    <row r="52" spans="1:20" x14ac:dyDescent="0.2">
      <c r="A52" s="6"/>
      <c r="B52" s="7"/>
      <c r="C52" s="9" t="str">
        <f t="shared" si="1"/>
        <v/>
      </c>
      <c r="D52" s="24" t="str">
        <f t="shared" si="2"/>
        <v/>
      </c>
      <c r="E52" s="21" t="str">
        <f t="shared" si="3"/>
        <v/>
      </c>
      <c r="F52" s="21" t="str">
        <f t="shared" si="4"/>
        <v/>
      </c>
      <c r="G52" s="21" t="str">
        <f t="shared" si="5"/>
        <v/>
      </c>
      <c r="H52" s="21" t="str">
        <f t="shared" si="10"/>
        <v/>
      </c>
      <c r="J52" s="5"/>
      <c r="K52" s="29"/>
      <c r="M52" s="15">
        <f t="shared" si="6"/>
        <v>-216.50376938593814</v>
      </c>
      <c r="N52" s="15">
        <f t="shared" si="7"/>
        <v>216.50376938593814</v>
      </c>
      <c r="P52" s="9">
        <v>28</v>
      </c>
      <c r="Q52" s="20">
        <f t="shared" si="8"/>
        <v>0</v>
      </c>
      <c r="R52" s="20">
        <f t="shared" si="9"/>
        <v>0</v>
      </c>
      <c r="S52" s="5">
        <f t="shared" si="0"/>
        <v>0</v>
      </c>
      <c r="T52">
        <f>SUM($S$26:S53)</f>
        <v>0</v>
      </c>
    </row>
    <row r="53" spans="1:20" x14ac:dyDescent="0.2">
      <c r="A53" s="6"/>
      <c r="B53" s="7"/>
      <c r="C53" s="9" t="str">
        <f t="shared" si="1"/>
        <v/>
      </c>
      <c r="D53" s="24" t="str">
        <f t="shared" si="2"/>
        <v/>
      </c>
      <c r="E53" s="21" t="str">
        <f t="shared" si="3"/>
        <v/>
      </c>
      <c r="F53" s="21" t="str">
        <f t="shared" si="4"/>
        <v/>
      </c>
      <c r="G53" s="21" t="str">
        <f t="shared" si="5"/>
        <v/>
      </c>
      <c r="H53" s="21" t="str">
        <f t="shared" si="10"/>
        <v/>
      </c>
      <c r="J53" s="5"/>
      <c r="K53" s="29"/>
      <c r="M53" s="15">
        <f t="shared" si="6"/>
        <v>-216.50376938593814</v>
      </c>
      <c r="N53" s="15">
        <f t="shared" si="7"/>
        <v>216.50376938593814</v>
      </c>
      <c r="P53" s="9">
        <v>29</v>
      </c>
      <c r="Q53" s="20">
        <f t="shared" si="8"/>
        <v>0</v>
      </c>
      <c r="R53" s="20">
        <f t="shared" si="9"/>
        <v>0</v>
      </c>
      <c r="S53" s="5">
        <f t="shared" si="0"/>
        <v>0</v>
      </c>
      <c r="T53">
        <f>SUM($S$26:S54)</f>
        <v>0</v>
      </c>
    </row>
    <row r="54" spans="1:20" x14ac:dyDescent="0.2">
      <c r="A54" s="6"/>
      <c r="B54" s="7"/>
      <c r="C54" s="9" t="str">
        <f t="shared" si="1"/>
        <v/>
      </c>
      <c r="D54" s="24" t="str">
        <f t="shared" si="2"/>
        <v/>
      </c>
      <c r="E54" s="21" t="str">
        <f t="shared" si="3"/>
        <v/>
      </c>
      <c r="F54" s="21" t="str">
        <f t="shared" si="4"/>
        <v/>
      </c>
      <c r="G54" s="21" t="str">
        <f t="shared" si="5"/>
        <v/>
      </c>
      <c r="H54" s="21" t="str">
        <f t="shared" si="10"/>
        <v/>
      </c>
      <c r="J54" s="5"/>
      <c r="K54" s="29"/>
      <c r="M54" s="15">
        <f t="shared" si="6"/>
        <v>-216.50376938593814</v>
      </c>
      <c r="N54" s="15">
        <f t="shared" si="7"/>
        <v>216.50376938593814</v>
      </c>
      <c r="P54" s="9">
        <v>30</v>
      </c>
      <c r="Q54" s="20">
        <f t="shared" si="8"/>
        <v>0</v>
      </c>
      <c r="R54" s="20">
        <f t="shared" si="9"/>
        <v>0</v>
      </c>
      <c r="S54" s="5">
        <f t="shared" si="0"/>
        <v>0</v>
      </c>
      <c r="T54">
        <f>SUM($S$26:S55)</f>
        <v>0</v>
      </c>
    </row>
    <row r="55" spans="1:20" x14ac:dyDescent="0.2">
      <c r="A55" s="6"/>
      <c r="B55" s="7"/>
      <c r="C55" s="9" t="str">
        <f t="shared" si="1"/>
        <v/>
      </c>
      <c r="D55" s="24" t="str">
        <f t="shared" si="2"/>
        <v/>
      </c>
      <c r="E55" s="21" t="str">
        <f t="shared" si="3"/>
        <v/>
      </c>
      <c r="F55" s="21" t="str">
        <f t="shared" si="4"/>
        <v/>
      </c>
      <c r="G55" s="21" t="str">
        <f t="shared" si="5"/>
        <v/>
      </c>
      <c r="H55" s="21" t="str">
        <f t="shared" si="10"/>
        <v/>
      </c>
      <c r="J55" s="5"/>
      <c r="K55" s="29"/>
      <c r="M55" s="15">
        <f t="shared" si="6"/>
        <v>-216.50376938593814</v>
      </c>
      <c r="N55" s="15">
        <f t="shared" si="7"/>
        <v>216.50376938593814</v>
      </c>
      <c r="P55" s="9">
        <v>31</v>
      </c>
      <c r="Q55" s="20">
        <f t="shared" si="8"/>
        <v>0</v>
      </c>
      <c r="R55" s="20">
        <f t="shared" si="9"/>
        <v>0</v>
      </c>
      <c r="S55" s="5">
        <f t="shared" si="0"/>
        <v>0</v>
      </c>
      <c r="T55">
        <f>SUM($S$26:S56)</f>
        <v>0</v>
      </c>
    </row>
    <row r="56" spans="1:20" x14ac:dyDescent="0.2">
      <c r="A56" s="6"/>
      <c r="B56" s="7"/>
      <c r="C56" s="9" t="str">
        <f t="shared" si="1"/>
        <v/>
      </c>
      <c r="D56" s="24" t="str">
        <f t="shared" si="2"/>
        <v/>
      </c>
      <c r="E56" s="21" t="str">
        <f t="shared" si="3"/>
        <v/>
      </c>
      <c r="F56" s="21" t="str">
        <f t="shared" si="4"/>
        <v/>
      </c>
      <c r="G56" s="21" t="str">
        <f t="shared" si="5"/>
        <v/>
      </c>
      <c r="H56" s="21" t="str">
        <f t="shared" si="10"/>
        <v/>
      </c>
      <c r="J56" s="5"/>
      <c r="K56" s="29"/>
      <c r="M56" s="15">
        <f t="shared" si="6"/>
        <v>-216.50376938593814</v>
      </c>
      <c r="N56" s="15">
        <f t="shared" si="7"/>
        <v>216.50376938593814</v>
      </c>
      <c r="P56" s="9">
        <v>32</v>
      </c>
      <c r="Q56" s="20">
        <f t="shared" si="8"/>
        <v>0</v>
      </c>
      <c r="R56" s="20">
        <f t="shared" si="9"/>
        <v>0</v>
      </c>
      <c r="S56" s="5">
        <f t="shared" si="0"/>
        <v>0</v>
      </c>
      <c r="T56">
        <f>SUM($S$26:S57)</f>
        <v>0</v>
      </c>
    </row>
    <row r="57" spans="1:20" x14ac:dyDescent="0.2">
      <c r="A57" s="6"/>
      <c r="B57" s="7"/>
      <c r="C57" s="9" t="str">
        <f t="shared" si="1"/>
        <v/>
      </c>
      <c r="D57" s="24" t="str">
        <f t="shared" si="2"/>
        <v/>
      </c>
      <c r="E57" s="21" t="str">
        <f t="shared" si="3"/>
        <v/>
      </c>
      <c r="F57" s="21" t="str">
        <f t="shared" si="4"/>
        <v/>
      </c>
      <c r="G57" s="21" t="str">
        <f t="shared" si="5"/>
        <v/>
      </c>
      <c r="H57" s="21" t="str">
        <f t="shared" si="10"/>
        <v/>
      </c>
      <c r="J57" s="5"/>
      <c r="K57" s="29"/>
      <c r="M57" s="15">
        <f t="shared" si="6"/>
        <v>-216.50376938593814</v>
      </c>
      <c r="N57" s="15">
        <f t="shared" si="7"/>
        <v>216.50376938593814</v>
      </c>
      <c r="P57" s="9">
        <v>33</v>
      </c>
      <c r="Q57" s="20">
        <f t="shared" si="8"/>
        <v>0</v>
      </c>
      <c r="R57" s="20">
        <f t="shared" si="9"/>
        <v>0</v>
      </c>
      <c r="S57" s="5">
        <f t="shared" ref="S57:S88" si="11">IF(C57&gt;$C$15,0,IF(ABS(G57)&gt;=$I$3,1,0))</f>
        <v>0</v>
      </c>
      <c r="T57">
        <f>SUM($S$26:S58)</f>
        <v>0</v>
      </c>
    </row>
    <row r="58" spans="1:20" x14ac:dyDescent="0.2">
      <c r="A58" s="6"/>
      <c r="B58" s="7"/>
      <c r="C58" s="9" t="str">
        <f t="shared" si="1"/>
        <v/>
      </c>
      <c r="D58" s="24" t="str">
        <f t="shared" si="2"/>
        <v/>
      </c>
      <c r="E58" s="21" t="str">
        <f t="shared" si="3"/>
        <v/>
      </c>
      <c r="F58" s="21" t="str">
        <f t="shared" si="4"/>
        <v/>
      </c>
      <c r="G58" s="21" t="str">
        <f t="shared" si="5"/>
        <v/>
      </c>
      <c r="H58" s="21" t="str">
        <f t="shared" si="10"/>
        <v/>
      </c>
      <c r="J58" s="5"/>
      <c r="K58" s="29"/>
      <c r="M58" s="15">
        <f t="shared" si="6"/>
        <v>-216.50376938593814</v>
      </c>
      <c r="N58" s="15">
        <f t="shared" si="7"/>
        <v>216.50376938593814</v>
      </c>
      <c r="P58" s="9">
        <v>34</v>
      </c>
      <c r="Q58" s="20">
        <f t="shared" si="8"/>
        <v>0</v>
      </c>
      <c r="R58" s="20">
        <f t="shared" si="9"/>
        <v>0</v>
      </c>
      <c r="S58" s="5">
        <f t="shared" si="11"/>
        <v>0</v>
      </c>
      <c r="T58">
        <f>SUM($S$26:S59)</f>
        <v>0</v>
      </c>
    </row>
    <row r="59" spans="1:20" x14ac:dyDescent="0.2">
      <c r="A59" s="6"/>
      <c r="B59" s="7"/>
      <c r="C59" s="9" t="str">
        <f t="shared" si="1"/>
        <v/>
      </c>
      <c r="D59" s="24" t="str">
        <f t="shared" si="2"/>
        <v/>
      </c>
      <c r="E59" s="21" t="str">
        <f t="shared" si="3"/>
        <v/>
      </c>
      <c r="F59" s="21" t="str">
        <f t="shared" si="4"/>
        <v/>
      </c>
      <c r="G59" s="21" t="str">
        <f t="shared" si="5"/>
        <v/>
      </c>
      <c r="H59" s="21" t="str">
        <f t="shared" si="10"/>
        <v/>
      </c>
      <c r="J59" s="5"/>
      <c r="K59" s="29"/>
      <c r="M59" s="15">
        <f t="shared" si="6"/>
        <v>-216.50376938593814</v>
      </c>
      <c r="N59" s="15">
        <f t="shared" si="7"/>
        <v>216.50376938593814</v>
      </c>
      <c r="P59" s="9">
        <v>35</v>
      </c>
      <c r="Q59" s="20">
        <f t="shared" si="8"/>
        <v>0</v>
      </c>
      <c r="R59" s="20">
        <f t="shared" si="9"/>
        <v>0</v>
      </c>
      <c r="S59" s="5">
        <f t="shared" si="11"/>
        <v>0</v>
      </c>
      <c r="T59">
        <f>SUM($S$26:S60)</f>
        <v>0</v>
      </c>
    </row>
    <row r="60" spans="1:20" x14ac:dyDescent="0.2">
      <c r="A60" s="6"/>
      <c r="B60" s="7"/>
      <c r="C60" s="9" t="str">
        <f t="shared" si="1"/>
        <v/>
      </c>
      <c r="D60" s="24" t="str">
        <f t="shared" si="2"/>
        <v/>
      </c>
      <c r="E60" s="21" t="str">
        <f t="shared" si="3"/>
        <v/>
      </c>
      <c r="F60" s="21" t="str">
        <f t="shared" si="4"/>
        <v/>
      </c>
      <c r="G60" s="21" t="str">
        <f t="shared" si="5"/>
        <v/>
      </c>
      <c r="H60" s="21" t="str">
        <f t="shared" si="10"/>
        <v/>
      </c>
      <c r="J60" s="5"/>
      <c r="K60" s="29"/>
      <c r="M60" s="15">
        <f t="shared" si="6"/>
        <v>-216.50376938593814</v>
      </c>
      <c r="N60" s="15">
        <f t="shared" si="7"/>
        <v>216.50376938593814</v>
      </c>
      <c r="P60" s="9">
        <v>36</v>
      </c>
      <c r="Q60" s="20">
        <f t="shared" si="8"/>
        <v>0</v>
      </c>
      <c r="R60" s="20">
        <f t="shared" si="9"/>
        <v>0</v>
      </c>
      <c r="S60" s="5">
        <f t="shared" si="11"/>
        <v>0</v>
      </c>
      <c r="T60">
        <f>SUM($S$26:S61)</f>
        <v>0</v>
      </c>
    </row>
    <row r="61" spans="1:20" x14ac:dyDescent="0.2">
      <c r="A61" s="6"/>
      <c r="B61" s="7"/>
      <c r="C61" s="9" t="str">
        <f t="shared" si="1"/>
        <v/>
      </c>
      <c r="D61" s="24" t="str">
        <f t="shared" si="2"/>
        <v/>
      </c>
      <c r="E61" s="21" t="str">
        <f t="shared" si="3"/>
        <v/>
      </c>
      <c r="F61" s="21" t="str">
        <f t="shared" si="4"/>
        <v/>
      </c>
      <c r="G61" s="21" t="str">
        <f t="shared" si="5"/>
        <v/>
      </c>
      <c r="H61" s="21" t="str">
        <f t="shared" si="10"/>
        <v/>
      </c>
      <c r="J61" s="5"/>
      <c r="K61" s="29"/>
      <c r="M61" s="15">
        <f t="shared" si="6"/>
        <v>-216.50376938593814</v>
      </c>
      <c r="N61" s="15">
        <f t="shared" si="7"/>
        <v>216.50376938593814</v>
      </c>
      <c r="P61" s="9">
        <v>37</v>
      </c>
      <c r="Q61" s="20">
        <f t="shared" si="8"/>
        <v>0</v>
      </c>
      <c r="R61" s="20">
        <f t="shared" si="9"/>
        <v>0</v>
      </c>
      <c r="S61" s="5">
        <f t="shared" si="11"/>
        <v>0</v>
      </c>
      <c r="T61">
        <f>SUM($S$26:S62)</f>
        <v>0</v>
      </c>
    </row>
    <row r="62" spans="1:20" x14ac:dyDescent="0.2">
      <c r="A62" s="6"/>
      <c r="B62" s="7"/>
      <c r="C62" s="9" t="str">
        <f t="shared" si="1"/>
        <v/>
      </c>
      <c r="D62" s="24" t="str">
        <f t="shared" si="2"/>
        <v/>
      </c>
      <c r="E62" s="21" t="str">
        <f t="shared" si="3"/>
        <v/>
      </c>
      <c r="F62" s="21" t="str">
        <f t="shared" si="4"/>
        <v/>
      </c>
      <c r="G62" s="21" t="str">
        <f t="shared" si="5"/>
        <v/>
      </c>
      <c r="H62" s="21" t="str">
        <f t="shared" si="10"/>
        <v/>
      </c>
      <c r="J62" s="5"/>
      <c r="K62" s="29"/>
      <c r="M62" s="15">
        <f t="shared" si="6"/>
        <v>-216.50376938593814</v>
      </c>
      <c r="N62" s="15">
        <f t="shared" si="7"/>
        <v>216.50376938593814</v>
      </c>
      <c r="P62" s="9">
        <v>38</v>
      </c>
      <c r="Q62" s="20">
        <f t="shared" si="8"/>
        <v>0</v>
      </c>
      <c r="R62" s="20">
        <f t="shared" si="9"/>
        <v>0</v>
      </c>
      <c r="S62" s="5">
        <f t="shared" si="11"/>
        <v>0</v>
      </c>
      <c r="T62">
        <f>SUM($S$26:S63)</f>
        <v>0</v>
      </c>
    </row>
    <row r="63" spans="1:20" x14ac:dyDescent="0.2">
      <c r="A63" s="6"/>
      <c r="B63" s="7"/>
      <c r="C63" s="9" t="str">
        <f t="shared" si="1"/>
        <v/>
      </c>
      <c r="D63" s="24" t="str">
        <f t="shared" si="2"/>
        <v/>
      </c>
      <c r="E63" s="21" t="str">
        <f t="shared" si="3"/>
        <v/>
      </c>
      <c r="F63" s="21" t="str">
        <f t="shared" si="4"/>
        <v/>
      </c>
      <c r="G63" s="21" t="str">
        <f t="shared" si="5"/>
        <v/>
      </c>
      <c r="H63" s="21" t="str">
        <f t="shared" si="10"/>
        <v/>
      </c>
      <c r="J63" s="5"/>
      <c r="K63" s="29"/>
      <c r="M63" s="15">
        <f t="shared" si="6"/>
        <v>-216.50376938593814</v>
      </c>
      <c r="N63" s="15">
        <f t="shared" si="7"/>
        <v>216.50376938593814</v>
      </c>
      <c r="P63" s="9">
        <v>39</v>
      </c>
      <c r="Q63" s="20">
        <f t="shared" si="8"/>
        <v>0</v>
      </c>
      <c r="R63" s="20">
        <f t="shared" si="9"/>
        <v>0</v>
      </c>
      <c r="S63" s="5">
        <f t="shared" si="11"/>
        <v>0</v>
      </c>
      <c r="T63">
        <f>SUM($S$26:S64)</f>
        <v>0</v>
      </c>
    </row>
    <row r="64" spans="1:20" x14ac:dyDescent="0.2">
      <c r="A64" s="6"/>
      <c r="B64" s="7"/>
      <c r="C64" s="9" t="str">
        <f t="shared" si="1"/>
        <v/>
      </c>
      <c r="D64" s="24" t="str">
        <f t="shared" si="2"/>
        <v/>
      </c>
      <c r="E64" s="21" t="str">
        <f t="shared" si="3"/>
        <v/>
      </c>
      <c r="F64" s="21" t="str">
        <f t="shared" si="4"/>
        <v/>
      </c>
      <c r="G64" s="21" t="str">
        <f t="shared" si="5"/>
        <v/>
      </c>
      <c r="H64" s="21" t="str">
        <f t="shared" si="10"/>
        <v/>
      </c>
      <c r="J64" s="5"/>
      <c r="K64" s="29"/>
      <c r="M64" s="15">
        <f t="shared" si="6"/>
        <v>-216.50376938593814</v>
      </c>
      <c r="N64" s="15">
        <f t="shared" si="7"/>
        <v>216.50376938593814</v>
      </c>
      <c r="P64" s="9">
        <v>40</v>
      </c>
      <c r="Q64" s="20">
        <f t="shared" si="8"/>
        <v>0</v>
      </c>
      <c r="R64" s="20">
        <f t="shared" si="9"/>
        <v>0</v>
      </c>
      <c r="S64" s="5">
        <f t="shared" si="11"/>
        <v>0</v>
      </c>
      <c r="T64">
        <f>SUM($S$26:S65)</f>
        <v>0</v>
      </c>
    </row>
    <row r="65" spans="1:20" x14ac:dyDescent="0.2">
      <c r="A65" s="6"/>
      <c r="B65" s="7"/>
      <c r="C65" s="9" t="str">
        <f t="shared" si="1"/>
        <v/>
      </c>
      <c r="D65" s="24" t="str">
        <f t="shared" si="2"/>
        <v/>
      </c>
      <c r="E65" s="21" t="str">
        <f t="shared" si="3"/>
        <v/>
      </c>
      <c r="F65" s="21" t="str">
        <f t="shared" si="4"/>
        <v/>
      </c>
      <c r="G65" s="21" t="str">
        <f t="shared" si="5"/>
        <v/>
      </c>
      <c r="H65" s="21" t="str">
        <f t="shared" si="10"/>
        <v/>
      </c>
      <c r="J65" s="5"/>
      <c r="K65" s="29"/>
      <c r="M65" s="15">
        <f t="shared" si="6"/>
        <v>-216.50376938593814</v>
      </c>
      <c r="N65" s="15">
        <f t="shared" si="7"/>
        <v>216.50376938593814</v>
      </c>
      <c r="P65" s="9">
        <v>41</v>
      </c>
      <c r="Q65" s="20">
        <f t="shared" si="8"/>
        <v>0</v>
      </c>
      <c r="R65" s="20">
        <f t="shared" si="9"/>
        <v>0</v>
      </c>
      <c r="S65" s="5">
        <f t="shared" si="11"/>
        <v>0</v>
      </c>
      <c r="T65">
        <f>SUM($S$26:S66)</f>
        <v>0</v>
      </c>
    </row>
    <row r="66" spans="1:20" x14ac:dyDescent="0.2">
      <c r="A66" s="6"/>
      <c r="B66" s="7"/>
      <c r="C66" s="9" t="str">
        <f t="shared" si="1"/>
        <v/>
      </c>
      <c r="D66" s="24" t="str">
        <f t="shared" si="2"/>
        <v/>
      </c>
      <c r="E66" s="21" t="str">
        <f t="shared" si="3"/>
        <v/>
      </c>
      <c r="F66" s="21" t="str">
        <f t="shared" si="4"/>
        <v/>
      </c>
      <c r="G66" s="21" t="str">
        <f t="shared" si="5"/>
        <v/>
      </c>
      <c r="H66" s="21" t="str">
        <f t="shared" si="10"/>
        <v/>
      </c>
      <c r="J66" s="5"/>
      <c r="K66" s="29"/>
      <c r="M66" s="15">
        <f t="shared" si="6"/>
        <v>-216.50376938593814</v>
      </c>
      <c r="N66" s="15">
        <f t="shared" si="7"/>
        <v>216.50376938593814</v>
      </c>
      <c r="P66" s="9">
        <v>42</v>
      </c>
      <c r="Q66" s="20">
        <f t="shared" si="8"/>
        <v>0</v>
      </c>
      <c r="R66" s="20">
        <f t="shared" si="9"/>
        <v>0</v>
      </c>
      <c r="S66" s="5">
        <f t="shared" si="11"/>
        <v>0</v>
      </c>
      <c r="T66">
        <f>SUM($S$26:S67)</f>
        <v>0</v>
      </c>
    </row>
    <row r="67" spans="1:20" x14ac:dyDescent="0.2">
      <c r="A67" s="6"/>
      <c r="B67" s="7"/>
      <c r="C67" s="9" t="str">
        <f t="shared" si="1"/>
        <v/>
      </c>
      <c r="D67" s="24" t="str">
        <f t="shared" si="2"/>
        <v/>
      </c>
      <c r="E67" s="21" t="str">
        <f t="shared" si="3"/>
        <v/>
      </c>
      <c r="F67" s="21" t="str">
        <f t="shared" si="4"/>
        <v/>
      </c>
      <c r="G67" s="21" t="str">
        <f t="shared" si="5"/>
        <v/>
      </c>
      <c r="H67" s="21" t="str">
        <f t="shared" si="10"/>
        <v/>
      </c>
      <c r="J67" s="5"/>
      <c r="K67" s="29"/>
      <c r="M67" s="15">
        <f t="shared" si="6"/>
        <v>-216.50376938593814</v>
      </c>
      <c r="N67" s="15">
        <f t="shared" si="7"/>
        <v>216.50376938593814</v>
      </c>
      <c r="P67" s="9">
        <v>43</v>
      </c>
      <c r="Q67" s="20">
        <f t="shared" si="8"/>
        <v>0</v>
      </c>
      <c r="R67" s="20">
        <f t="shared" si="9"/>
        <v>0</v>
      </c>
      <c r="S67" s="5">
        <f t="shared" si="11"/>
        <v>0</v>
      </c>
      <c r="T67">
        <f>SUM($S$26:S68)</f>
        <v>0</v>
      </c>
    </row>
    <row r="68" spans="1:20" x14ac:dyDescent="0.2">
      <c r="A68" s="6"/>
      <c r="B68" s="7"/>
      <c r="C68" s="9" t="str">
        <f t="shared" si="1"/>
        <v/>
      </c>
      <c r="D68" s="24" t="str">
        <f t="shared" si="2"/>
        <v/>
      </c>
      <c r="E68" s="21" t="str">
        <f t="shared" si="3"/>
        <v/>
      </c>
      <c r="F68" s="21" t="str">
        <f t="shared" si="4"/>
        <v/>
      </c>
      <c r="G68" s="21" t="str">
        <f t="shared" si="5"/>
        <v/>
      </c>
      <c r="H68" s="21" t="str">
        <f t="shared" si="10"/>
        <v/>
      </c>
      <c r="J68" s="5"/>
      <c r="K68" s="29"/>
      <c r="M68" s="15">
        <f t="shared" si="6"/>
        <v>-216.50376938593814</v>
      </c>
      <c r="N68" s="15">
        <f t="shared" si="7"/>
        <v>216.50376938593814</v>
      </c>
      <c r="P68" s="9">
        <v>44</v>
      </c>
      <c r="Q68" s="20">
        <f t="shared" si="8"/>
        <v>0</v>
      </c>
      <c r="R68" s="20">
        <f t="shared" si="9"/>
        <v>0</v>
      </c>
      <c r="S68" s="5">
        <f t="shared" si="11"/>
        <v>0</v>
      </c>
      <c r="T68">
        <f>SUM($S$26:S69)</f>
        <v>0</v>
      </c>
    </row>
    <row r="69" spans="1:20" x14ac:dyDescent="0.2">
      <c r="A69" s="6"/>
      <c r="B69" s="7"/>
      <c r="C69" s="9" t="str">
        <f t="shared" si="1"/>
        <v/>
      </c>
      <c r="D69" s="24" t="str">
        <f t="shared" si="2"/>
        <v/>
      </c>
      <c r="E69" s="21" t="str">
        <f t="shared" si="3"/>
        <v/>
      </c>
      <c r="F69" s="21" t="str">
        <f t="shared" si="4"/>
        <v/>
      </c>
      <c r="G69" s="21" t="str">
        <f t="shared" si="5"/>
        <v/>
      </c>
      <c r="H69" s="21" t="str">
        <f t="shared" si="10"/>
        <v/>
      </c>
      <c r="J69" s="5"/>
      <c r="K69" s="29"/>
      <c r="M69" s="15">
        <f t="shared" si="6"/>
        <v>-216.50376938593814</v>
      </c>
      <c r="N69" s="15">
        <f t="shared" si="7"/>
        <v>216.50376938593814</v>
      </c>
      <c r="P69" s="9">
        <v>45</v>
      </c>
      <c r="Q69" s="20">
        <f t="shared" si="8"/>
        <v>0</v>
      </c>
      <c r="R69" s="20">
        <f t="shared" si="9"/>
        <v>0</v>
      </c>
      <c r="S69" s="5">
        <f t="shared" si="11"/>
        <v>0</v>
      </c>
      <c r="T69">
        <f>SUM($S$26:S70)</f>
        <v>0</v>
      </c>
    </row>
    <row r="70" spans="1:20" x14ac:dyDescent="0.2">
      <c r="A70" s="6"/>
      <c r="B70" s="7"/>
      <c r="C70" s="9" t="str">
        <f t="shared" si="1"/>
        <v/>
      </c>
      <c r="D70" s="24" t="str">
        <f t="shared" si="2"/>
        <v/>
      </c>
      <c r="E70" s="21" t="str">
        <f t="shared" si="3"/>
        <v/>
      </c>
      <c r="F70" s="21" t="str">
        <f t="shared" si="4"/>
        <v/>
      </c>
      <c r="G70" s="21" t="str">
        <f t="shared" si="5"/>
        <v/>
      </c>
      <c r="H70" s="21" t="str">
        <f t="shared" si="10"/>
        <v/>
      </c>
      <c r="J70" s="5"/>
      <c r="K70" s="29"/>
      <c r="M70" s="15">
        <f t="shared" si="6"/>
        <v>-216.50376938593814</v>
      </c>
      <c r="N70" s="15">
        <f t="shared" si="7"/>
        <v>216.50376938593814</v>
      </c>
      <c r="P70" s="9">
        <v>46</v>
      </c>
      <c r="Q70" s="20">
        <f t="shared" si="8"/>
        <v>0</v>
      </c>
      <c r="R70" s="20">
        <f t="shared" si="9"/>
        <v>0</v>
      </c>
      <c r="S70" s="5">
        <f t="shared" si="11"/>
        <v>0</v>
      </c>
      <c r="T70">
        <f>SUM($S$26:S71)</f>
        <v>0</v>
      </c>
    </row>
    <row r="71" spans="1:20" x14ac:dyDescent="0.2">
      <c r="A71" s="6"/>
      <c r="B71" s="7"/>
      <c r="C71" s="9" t="str">
        <f t="shared" si="1"/>
        <v/>
      </c>
      <c r="D71" s="24" t="str">
        <f t="shared" si="2"/>
        <v/>
      </c>
      <c r="E71" s="21" t="str">
        <f t="shared" si="3"/>
        <v/>
      </c>
      <c r="F71" s="21" t="str">
        <f t="shared" si="4"/>
        <v/>
      </c>
      <c r="G71" s="21" t="str">
        <f t="shared" si="5"/>
        <v/>
      </c>
      <c r="H71" s="21" t="str">
        <f t="shared" si="10"/>
        <v/>
      </c>
      <c r="J71" s="5"/>
      <c r="K71" s="29"/>
      <c r="M71" s="15">
        <f t="shared" si="6"/>
        <v>-216.50376938593814</v>
      </c>
      <c r="N71" s="15">
        <f t="shared" si="7"/>
        <v>216.50376938593814</v>
      </c>
      <c r="P71" s="9">
        <v>47</v>
      </c>
      <c r="Q71" s="20">
        <f t="shared" si="8"/>
        <v>0</v>
      </c>
      <c r="R71" s="20">
        <f t="shared" si="9"/>
        <v>0</v>
      </c>
      <c r="S71" s="5">
        <f t="shared" si="11"/>
        <v>0</v>
      </c>
      <c r="T71">
        <f>SUM($S$26:S72)</f>
        <v>0</v>
      </c>
    </row>
    <row r="72" spans="1:20" x14ac:dyDescent="0.2">
      <c r="A72" s="6"/>
      <c r="B72" s="7"/>
      <c r="C72" s="9" t="str">
        <f t="shared" si="1"/>
        <v/>
      </c>
      <c r="D72" s="24" t="str">
        <f t="shared" si="2"/>
        <v/>
      </c>
      <c r="E72" s="21" t="str">
        <f t="shared" si="3"/>
        <v/>
      </c>
      <c r="F72" s="21" t="str">
        <f t="shared" si="4"/>
        <v/>
      </c>
      <c r="G72" s="21" t="str">
        <f t="shared" si="5"/>
        <v/>
      </c>
      <c r="H72" s="21" t="str">
        <f t="shared" si="10"/>
        <v/>
      </c>
      <c r="J72" s="5"/>
      <c r="K72" s="29"/>
      <c r="M72" s="15">
        <f t="shared" si="6"/>
        <v>-216.50376938593814</v>
      </c>
      <c r="N72" s="15">
        <f t="shared" si="7"/>
        <v>216.50376938593814</v>
      </c>
      <c r="P72" s="9">
        <v>48</v>
      </c>
      <c r="Q72" s="20">
        <f t="shared" si="8"/>
        <v>0</v>
      </c>
      <c r="R72" s="20">
        <f t="shared" si="9"/>
        <v>0</v>
      </c>
      <c r="S72" s="5">
        <f t="shared" si="11"/>
        <v>0</v>
      </c>
      <c r="T72">
        <f>SUM($S$26:S73)</f>
        <v>0</v>
      </c>
    </row>
    <row r="73" spans="1:20" x14ac:dyDescent="0.2">
      <c r="A73" s="6"/>
      <c r="B73" s="7"/>
      <c r="C73" s="9" t="str">
        <f t="shared" si="1"/>
        <v/>
      </c>
      <c r="D73" s="24" t="str">
        <f t="shared" si="2"/>
        <v/>
      </c>
      <c r="E73" s="21" t="str">
        <f t="shared" si="3"/>
        <v/>
      </c>
      <c r="F73" s="21" t="str">
        <f t="shared" si="4"/>
        <v/>
      </c>
      <c r="G73" s="21" t="str">
        <f t="shared" si="5"/>
        <v/>
      </c>
      <c r="H73" s="21" t="str">
        <f t="shared" si="10"/>
        <v/>
      </c>
      <c r="J73" s="5"/>
      <c r="K73" s="29"/>
      <c r="M73" s="15">
        <f t="shared" si="6"/>
        <v>-216.50376938593814</v>
      </c>
      <c r="N73" s="15">
        <f t="shared" si="7"/>
        <v>216.50376938593814</v>
      </c>
      <c r="P73" s="9">
        <v>49</v>
      </c>
      <c r="Q73" s="20">
        <f t="shared" si="8"/>
        <v>0</v>
      </c>
      <c r="R73" s="20">
        <f t="shared" si="9"/>
        <v>0</v>
      </c>
      <c r="S73" s="5">
        <f t="shared" si="11"/>
        <v>0</v>
      </c>
      <c r="T73">
        <f>SUM($S$26:S74)</f>
        <v>0</v>
      </c>
    </row>
    <row r="74" spans="1:20" x14ac:dyDescent="0.2">
      <c r="A74" s="6"/>
      <c r="B74" s="7"/>
      <c r="C74" s="9" t="str">
        <f t="shared" si="1"/>
        <v/>
      </c>
      <c r="D74" s="24" t="str">
        <f t="shared" si="2"/>
        <v/>
      </c>
      <c r="E74" s="21" t="str">
        <f t="shared" si="3"/>
        <v/>
      </c>
      <c r="F74" s="21" t="str">
        <f t="shared" si="4"/>
        <v/>
      </c>
      <c r="G74" s="21" t="str">
        <f t="shared" si="5"/>
        <v/>
      </c>
      <c r="H74" s="21" t="str">
        <f t="shared" si="10"/>
        <v/>
      </c>
      <c r="J74" s="5"/>
      <c r="K74" s="29"/>
      <c r="M74" s="15">
        <f t="shared" si="6"/>
        <v>-216.50376938593814</v>
      </c>
      <c r="N74" s="15">
        <f t="shared" si="7"/>
        <v>216.50376938593814</v>
      </c>
      <c r="P74" s="9">
        <v>50</v>
      </c>
      <c r="Q74" s="20">
        <f t="shared" si="8"/>
        <v>0</v>
      </c>
      <c r="R74" s="20">
        <f t="shared" si="9"/>
        <v>0</v>
      </c>
      <c r="S74" s="5">
        <f t="shared" si="11"/>
        <v>0</v>
      </c>
      <c r="T74">
        <f>SUM($S$26:S75)</f>
        <v>0</v>
      </c>
    </row>
    <row r="75" spans="1:20" x14ac:dyDescent="0.2">
      <c r="A75" s="6"/>
      <c r="B75" s="7"/>
      <c r="C75" s="9" t="str">
        <f t="shared" si="1"/>
        <v/>
      </c>
      <c r="D75" s="24" t="str">
        <f t="shared" si="2"/>
        <v/>
      </c>
      <c r="E75" s="21" t="str">
        <f t="shared" si="3"/>
        <v/>
      </c>
      <c r="F75" s="21" t="str">
        <f t="shared" si="4"/>
        <v/>
      </c>
      <c r="G75" s="21" t="str">
        <f t="shared" si="5"/>
        <v/>
      </c>
      <c r="H75" s="21" t="str">
        <f t="shared" si="10"/>
        <v/>
      </c>
      <c r="J75" s="5"/>
      <c r="K75" s="29"/>
      <c r="M75" s="15">
        <f t="shared" si="6"/>
        <v>-216.50376938593814</v>
      </c>
      <c r="N75" s="15">
        <f t="shared" si="7"/>
        <v>216.50376938593814</v>
      </c>
      <c r="P75" s="9">
        <v>51</v>
      </c>
      <c r="Q75" s="20">
        <f t="shared" si="8"/>
        <v>0</v>
      </c>
      <c r="R75" s="20">
        <f t="shared" si="9"/>
        <v>0</v>
      </c>
      <c r="S75" s="5">
        <f t="shared" si="11"/>
        <v>0</v>
      </c>
      <c r="T75">
        <f>SUM($S$26:S76)</f>
        <v>0</v>
      </c>
    </row>
    <row r="76" spans="1:20" x14ac:dyDescent="0.2">
      <c r="A76" s="6"/>
      <c r="B76" s="7"/>
      <c r="C76" s="9" t="str">
        <f t="shared" si="1"/>
        <v/>
      </c>
      <c r="D76" s="24" t="str">
        <f t="shared" si="2"/>
        <v/>
      </c>
      <c r="E76" s="21" t="str">
        <f t="shared" si="3"/>
        <v/>
      </c>
      <c r="F76" s="21" t="str">
        <f t="shared" si="4"/>
        <v/>
      </c>
      <c r="G76" s="21" t="str">
        <f t="shared" si="5"/>
        <v/>
      </c>
      <c r="H76" s="21" t="str">
        <f t="shared" si="10"/>
        <v/>
      </c>
      <c r="J76" s="5"/>
      <c r="K76" s="29"/>
      <c r="M76" s="15">
        <f t="shared" si="6"/>
        <v>-216.50376938593814</v>
      </c>
      <c r="N76" s="15">
        <f t="shared" si="7"/>
        <v>216.50376938593814</v>
      </c>
      <c r="P76" s="9">
        <v>52</v>
      </c>
      <c r="Q76" s="20">
        <f t="shared" si="8"/>
        <v>0</v>
      </c>
      <c r="R76" s="20">
        <f t="shared" si="9"/>
        <v>0</v>
      </c>
      <c r="S76" s="5">
        <f t="shared" si="11"/>
        <v>0</v>
      </c>
      <c r="T76">
        <f>SUM($S$26:S77)</f>
        <v>0</v>
      </c>
    </row>
    <row r="77" spans="1:20" x14ac:dyDescent="0.2">
      <c r="A77" s="6"/>
      <c r="B77" s="7"/>
      <c r="C77" s="9" t="str">
        <f t="shared" si="1"/>
        <v/>
      </c>
      <c r="D77" s="24" t="str">
        <f t="shared" si="2"/>
        <v/>
      </c>
      <c r="E77" s="21" t="str">
        <f t="shared" si="3"/>
        <v/>
      </c>
      <c r="F77" s="21" t="str">
        <f t="shared" si="4"/>
        <v/>
      </c>
      <c r="G77" s="21" t="str">
        <f t="shared" si="5"/>
        <v/>
      </c>
      <c r="H77" s="21" t="str">
        <f t="shared" si="10"/>
        <v/>
      </c>
      <c r="J77" s="5"/>
      <c r="K77" s="29"/>
      <c r="M77" s="15">
        <f t="shared" si="6"/>
        <v>-216.50376938593814</v>
      </c>
      <c r="N77" s="15">
        <f t="shared" si="7"/>
        <v>216.50376938593814</v>
      </c>
      <c r="P77" s="9">
        <v>53</v>
      </c>
      <c r="Q77" s="20">
        <f t="shared" si="8"/>
        <v>0</v>
      </c>
      <c r="R77" s="20">
        <f t="shared" si="9"/>
        <v>0</v>
      </c>
      <c r="S77" s="5">
        <f t="shared" si="11"/>
        <v>0</v>
      </c>
      <c r="T77">
        <f>SUM($S$26:S78)</f>
        <v>0</v>
      </c>
    </row>
    <row r="78" spans="1:20" x14ac:dyDescent="0.2">
      <c r="A78" s="6"/>
      <c r="B78" s="7"/>
      <c r="C78" s="9" t="str">
        <f t="shared" si="1"/>
        <v/>
      </c>
      <c r="D78" s="24" t="str">
        <f t="shared" si="2"/>
        <v/>
      </c>
      <c r="E78" s="21" t="str">
        <f t="shared" si="3"/>
        <v/>
      </c>
      <c r="F78" s="21" t="str">
        <f t="shared" si="4"/>
        <v/>
      </c>
      <c r="G78" s="21" t="str">
        <f t="shared" si="5"/>
        <v/>
      </c>
      <c r="H78" s="21" t="str">
        <f t="shared" si="10"/>
        <v/>
      </c>
      <c r="J78" s="5"/>
      <c r="K78" s="29"/>
      <c r="M78" s="15">
        <f t="shared" si="6"/>
        <v>-216.50376938593814</v>
      </c>
      <c r="N78" s="15">
        <f t="shared" si="7"/>
        <v>216.50376938593814</v>
      </c>
      <c r="P78" s="9">
        <v>54</v>
      </c>
      <c r="Q78" s="20">
        <f t="shared" si="8"/>
        <v>0</v>
      </c>
      <c r="R78" s="20">
        <f t="shared" si="9"/>
        <v>0</v>
      </c>
      <c r="S78" s="5">
        <f t="shared" si="11"/>
        <v>0</v>
      </c>
      <c r="T78">
        <f>SUM($S$26:S79)</f>
        <v>0</v>
      </c>
    </row>
    <row r="79" spans="1:20" x14ac:dyDescent="0.2">
      <c r="A79" s="6"/>
      <c r="B79" s="7"/>
      <c r="C79" s="9" t="str">
        <f t="shared" si="1"/>
        <v/>
      </c>
      <c r="D79" s="24" t="str">
        <f t="shared" si="2"/>
        <v/>
      </c>
      <c r="E79" s="21" t="str">
        <f t="shared" si="3"/>
        <v/>
      </c>
      <c r="F79" s="21" t="str">
        <f t="shared" si="4"/>
        <v/>
      </c>
      <c r="G79" s="21" t="str">
        <f t="shared" si="5"/>
        <v/>
      </c>
      <c r="H79" s="21" t="str">
        <f t="shared" si="10"/>
        <v/>
      </c>
      <c r="J79" s="5"/>
      <c r="K79" s="29"/>
      <c r="M79" s="15">
        <f t="shared" si="6"/>
        <v>-216.50376938593814</v>
      </c>
      <c r="N79" s="15">
        <f t="shared" si="7"/>
        <v>216.50376938593814</v>
      </c>
      <c r="P79" s="9">
        <v>55</v>
      </c>
      <c r="Q79" s="20">
        <f t="shared" si="8"/>
        <v>0</v>
      </c>
      <c r="R79" s="20">
        <f t="shared" si="9"/>
        <v>0</v>
      </c>
      <c r="S79" s="5">
        <f t="shared" si="11"/>
        <v>0</v>
      </c>
      <c r="T79">
        <f>SUM($S$26:S80)</f>
        <v>0</v>
      </c>
    </row>
    <row r="80" spans="1:20" x14ac:dyDescent="0.2">
      <c r="A80" s="6"/>
      <c r="B80" s="7"/>
      <c r="C80" s="9" t="str">
        <f t="shared" si="1"/>
        <v/>
      </c>
      <c r="D80" s="24" t="str">
        <f t="shared" si="2"/>
        <v/>
      </c>
      <c r="E80" s="21" t="str">
        <f t="shared" si="3"/>
        <v/>
      </c>
      <c r="F80" s="21" t="str">
        <f t="shared" si="4"/>
        <v/>
      </c>
      <c r="G80" s="21" t="str">
        <f t="shared" si="5"/>
        <v/>
      </c>
      <c r="H80" s="21" t="str">
        <f t="shared" si="10"/>
        <v/>
      </c>
      <c r="J80" s="5"/>
      <c r="K80" s="29"/>
      <c r="M80" s="15">
        <f t="shared" si="6"/>
        <v>-216.50376938593814</v>
      </c>
      <c r="N80" s="15">
        <f t="shared" si="7"/>
        <v>216.50376938593814</v>
      </c>
      <c r="P80" s="9">
        <v>56</v>
      </c>
      <c r="Q80" s="20">
        <f t="shared" si="8"/>
        <v>0</v>
      </c>
      <c r="R80" s="20">
        <f t="shared" si="9"/>
        <v>0</v>
      </c>
      <c r="S80" s="5">
        <f t="shared" si="11"/>
        <v>0</v>
      </c>
      <c r="T80">
        <f>SUM($S$26:S81)</f>
        <v>0</v>
      </c>
    </row>
    <row r="81" spans="1:20" x14ac:dyDescent="0.2">
      <c r="A81" s="6"/>
      <c r="B81" s="7"/>
      <c r="C81" s="9" t="str">
        <f t="shared" si="1"/>
        <v/>
      </c>
      <c r="D81" s="24" t="str">
        <f t="shared" si="2"/>
        <v/>
      </c>
      <c r="E81" s="21" t="str">
        <f t="shared" si="3"/>
        <v/>
      </c>
      <c r="F81" s="21" t="str">
        <f t="shared" si="4"/>
        <v/>
      </c>
      <c r="G81" s="21" t="str">
        <f t="shared" si="5"/>
        <v/>
      </c>
      <c r="H81" s="21" t="str">
        <f t="shared" si="10"/>
        <v/>
      </c>
      <c r="J81" s="5"/>
      <c r="K81" s="29"/>
      <c r="M81" s="15">
        <f t="shared" si="6"/>
        <v>-216.50376938593814</v>
      </c>
      <c r="N81" s="15">
        <f t="shared" si="7"/>
        <v>216.50376938593814</v>
      </c>
      <c r="P81" s="9">
        <v>57</v>
      </c>
      <c r="Q81" s="20">
        <f t="shared" si="8"/>
        <v>0</v>
      </c>
      <c r="R81" s="20">
        <f t="shared" si="9"/>
        <v>0</v>
      </c>
      <c r="S81" s="5">
        <f t="shared" si="11"/>
        <v>0</v>
      </c>
      <c r="T81">
        <f>SUM($S$26:S82)</f>
        <v>0</v>
      </c>
    </row>
    <row r="82" spans="1:20" x14ac:dyDescent="0.2">
      <c r="A82" s="6"/>
      <c r="B82" s="7"/>
      <c r="C82" s="9" t="str">
        <f t="shared" si="1"/>
        <v/>
      </c>
      <c r="D82" s="24" t="str">
        <f t="shared" si="2"/>
        <v/>
      </c>
      <c r="E82" s="21" t="str">
        <f t="shared" si="3"/>
        <v/>
      </c>
      <c r="F82" s="21" t="str">
        <f t="shared" si="4"/>
        <v/>
      </c>
      <c r="G82" s="21" t="str">
        <f t="shared" si="5"/>
        <v/>
      </c>
      <c r="H82" s="21" t="str">
        <f t="shared" si="10"/>
        <v/>
      </c>
      <c r="J82" s="5"/>
      <c r="K82" s="29"/>
      <c r="M82" s="15">
        <f t="shared" si="6"/>
        <v>-216.50376938593814</v>
      </c>
      <c r="N82" s="15">
        <f t="shared" si="7"/>
        <v>216.50376938593814</v>
      </c>
      <c r="P82" s="9">
        <v>58</v>
      </c>
      <c r="Q82" s="20">
        <f t="shared" si="8"/>
        <v>0</v>
      </c>
      <c r="R82" s="20">
        <f t="shared" si="9"/>
        <v>0</v>
      </c>
      <c r="S82" s="5">
        <f t="shared" si="11"/>
        <v>0</v>
      </c>
      <c r="T82">
        <f>SUM($S$26:S83)</f>
        <v>0</v>
      </c>
    </row>
    <row r="83" spans="1:20" x14ac:dyDescent="0.2">
      <c r="A83" s="6"/>
      <c r="B83" s="7"/>
      <c r="C83" s="9" t="str">
        <f t="shared" si="1"/>
        <v/>
      </c>
      <c r="D83" s="24" t="str">
        <f t="shared" si="2"/>
        <v/>
      </c>
      <c r="E83" s="21" t="str">
        <f t="shared" si="3"/>
        <v/>
      </c>
      <c r="F83" s="21" t="str">
        <f t="shared" si="4"/>
        <v/>
      </c>
      <c r="G83" s="21" t="str">
        <f t="shared" si="5"/>
        <v/>
      </c>
      <c r="H83" s="21" t="str">
        <f t="shared" si="10"/>
        <v/>
      </c>
      <c r="J83" s="5"/>
      <c r="K83" s="29"/>
      <c r="M83" s="15">
        <f t="shared" si="6"/>
        <v>-216.50376938593814</v>
      </c>
      <c r="N83" s="15">
        <f t="shared" si="7"/>
        <v>216.50376938593814</v>
      </c>
      <c r="P83" s="9">
        <v>59</v>
      </c>
      <c r="Q83" s="20">
        <f t="shared" si="8"/>
        <v>0</v>
      </c>
      <c r="R83" s="20">
        <f t="shared" si="9"/>
        <v>0</v>
      </c>
      <c r="S83" s="5">
        <f t="shared" si="11"/>
        <v>0</v>
      </c>
      <c r="T83">
        <f>SUM($S$26:S84)</f>
        <v>0</v>
      </c>
    </row>
    <row r="84" spans="1:20" x14ac:dyDescent="0.2">
      <c r="A84" s="6"/>
      <c r="B84" s="7"/>
      <c r="C84" s="9" t="str">
        <f t="shared" si="1"/>
        <v/>
      </c>
      <c r="D84" s="24" t="str">
        <f t="shared" si="2"/>
        <v/>
      </c>
      <c r="E84" s="21" t="str">
        <f t="shared" si="3"/>
        <v/>
      </c>
      <c r="F84" s="21" t="str">
        <f t="shared" si="4"/>
        <v/>
      </c>
      <c r="G84" s="21" t="str">
        <f t="shared" si="5"/>
        <v/>
      </c>
      <c r="H84" s="21" t="str">
        <f t="shared" si="10"/>
        <v/>
      </c>
      <c r="J84" s="5"/>
      <c r="K84" s="29"/>
      <c r="M84" s="15">
        <f t="shared" si="6"/>
        <v>-216.50376938593814</v>
      </c>
      <c r="N84" s="15">
        <f t="shared" si="7"/>
        <v>216.50376938593814</v>
      </c>
      <c r="P84" s="9">
        <v>60</v>
      </c>
      <c r="Q84" s="20">
        <f t="shared" si="8"/>
        <v>0</v>
      </c>
      <c r="R84" s="20">
        <f t="shared" si="9"/>
        <v>0</v>
      </c>
      <c r="S84" s="5">
        <f t="shared" si="11"/>
        <v>0</v>
      </c>
      <c r="T84">
        <f>SUM($S$26:S85)</f>
        <v>0</v>
      </c>
    </row>
    <row r="85" spans="1:20" x14ac:dyDescent="0.2">
      <c r="A85" s="6"/>
      <c r="B85" s="7"/>
      <c r="C85" s="9" t="str">
        <f t="shared" si="1"/>
        <v/>
      </c>
      <c r="D85" s="24" t="str">
        <f t="shared" si="2"/>
        <v/>
      </c>
      <c r="E85" s="21" t="str">
        <f t="shared" si="3"/>
        <v/>
      </c>
      <c r="F85" s="21" t="str">
        <f t="shared" si="4"/>
        <v/>
      </c>
      <c r="G85" s="21" t="str">
        <f t="shared" si="5"/>
        <v/>
      </c>
      <c r="H85" s="21" t="str">
        <f t="shared" si="10"/>
        <v/>
      </c>
      <c r="J85" s="5"/>
      <c r="K85" s="29"/>
      <c r="M85" s="15">
        <f t="shared" si="6"/>
        <v>-216.50376938593814</v>
      </c>
      <c r="N85" s="15">
        <f t="shared" si="7"/>
        <v>216.50376938593814</v>
      </c>
      <c r="P85" s="9">
        <v>61</v>
      </c>
      <c r="Q85" s="20">
        <f t="shared" si="8"/>
        <v>0</v>
      </c>
      <c r="R85" s="20">
        <f t="shared" si="9"/>
        <v>0</v>
      </c>
      <c r="S85" s="5">
        <f t="shared" si="11"/>
        <v>0</v>
      </c>
      <c r="T85">
        <f>SUM($S$26:S86)</f>
        <v>0</v>
      </c>
    </row>
    <row r="86" spans="1:20" x14ac:dyDescent="0.2">
      <c r="A86" s="6"/>
      <c r="B86" s="7"/>
      <c r="C86" s="9" t="str">
        <f t="shared" si="1"/>
        <v/>
      </c>
      <c r="D86" s="24" t="str">
        <f t="shared" si="2"/>
        <v/>
      </c>
      <c r="E86" s="21" t="str">
        <f t="shared" si="3"/>
        <v/>
      </c>
      <c r="F86" s="21" t="str">
        <f t="shared" si="4"/>
        <v/>
      </c>
      <c r="G86" s="21" t="str">
        <f t="shared" si="5"/>
        <v/>
      </c>
      <c r="H86" s="21" t="str">
        <f t="shared" si="10"/>
        <v/>
      </c>
      <c r="J86" s="5"/>
      <c r="K86" s="29"/>
      <c r="M86" s="15">
        <f t="shared" si="6"/>
        <v>-216.50376938593814</v>
      </c>
      <c r="N86" s="15">
        <f t="shared" si="7"/>
        <v>216.50376938593814</v>
      </c>
      <c r="P86" s="9">
        <v>62</v>
      </c>
      <c r="Q86" s="20">
        <f t="shared" si="8"/>
        <v>0</v>
      </c>
      <c r="R86" s="20">
        <f t="shared" si="9"/>
        <v>0</v>
      </c>
      <c r="S86" s="5">
        <f t="shared" si="11"/>
        <v>0</v>
      </c>
      <c r="T86">
        <f>SUM($S$26:S87)</f>
        <v>0</v>
      </c>
    </row>
    <row r="87" spans="1:20" x14ac:dyDescent="0.2">
      <c r="A87" s="6"/>
      <c r="B87" s="7"/>
      <c r="C87" s="9" t="str">
        <f t="shared" si="1"/>
        <v/>
      </c>
      <c r="D87" s="24" t="str">
        <f t="shared" si="2"/>
        <v/>
      </c>
      <c r="E87" s="21" t="str">
        <f t="shared" si="3"/>
        <v/>
      </c>
      <c r="F87" s="21" t="str">
        <f t="shared" si="4"/>
        <v/>
      </c>
      <c r="G87" s="21" t="str">
        <f t="shared" si="5"/>
        <v/>
      </c>
      <c r="H87" s="21" t="str">
        <f t="shared" si="10"/>
        <v/>
      </c>
      <c r="J87" s="5"/>
      <c r="K87" s="29"/>
      <c r="M87" s="15">
        <f t="shared" si="6"/>
        <v>-216.50376938593814</v>
      </c>
      <c r="N87" s="15">
        <f t="shared" si="7"/>
        <v>216.50376938593814</v>
      </c>
      <c r="P87" s="9">
        <v>63</v>
      </c>
      <c r="Q87" s="20">
        <f t="shared" si="8"/>
        <v>0</v>
      </c>
      <c r="R87" s="20">
        <f t="shared" si="9"/>
        <v>0</v>
      </c>
      <c r="S87" s="5">
        <f t="shared" si="11"/>
        <v>0</v>
      </c>
      <c r="T87">
        <f>SUM($S$26:S88)</f>
        <v>0</v>
      </c>
    </row>
    <row r="88" spans="1:20" x14ac:dyDescent="0.2">
      <c r="A88" s="6"/>
      <c r="B88" s="7"/>
      <c r="C88" s="9" t="str">
        <f t="shared" si="1"/>
        <v/>
      </c>
      <c r="D88" s="24" t="str">
        <f t="shared" si="2"/>
        <v/>
      </c>
      <c r="E88" s="21" t="str">
        <f t="shared" si="3"/>
        <v/>
      </c>
      <c r="F88" s="21" t="str">
        <f t="shared" si="4"/>
        <v/>
      </c>
      <c r="G88" s="21" t="str">
        <f t="shared" si="5"/>
        <v/>
      </c>
      <c r="H88" s="21" t="str">
        <f t="shared" si="10"/>
        <v/>
      </c>
      <c r="J88" s="5"/>
      <c r="K88" s="29"/>
      <c r="M88" s="15">
        <f t="shared" si="6"/>
        <v>-216.50376938593814</v>
      </c>
      <c r="N88" s="15">
        <f t="shared" si="7"/>
        <v>216.50376938593814</v>
      </c>
      <c r="P88" s="9">
        <v>64</v>
      </c>
      <c r="Q88" s="20">
        <f t="shared" si="8"/>
        <v>0</v>
      </c>
      <c r="R88" s="20">
        <f t="shared" si="9"/>
        <v>0</v>
      </c>
      <c r="S88" s="5">
        <f t="shared" si="11"/>
        <v>0</v>
      </c>
      <c r="T88">
        <f>SUM($S$26:S89)</f>
        <v>0</v>
      </c>
    </row>
    <row r="89" spans="1:20" x14ac:dyDescent="0.2">
      <c r="A89" s="6"/>
      <c r="B89" s="7"/>
      <c r="C89" s="9" t="str">
        <f t="shared" si="1"/>
        <v/>
      </c>
      <c r="D89" s="24" t="str">
        <f t="shared" si="2"/>
        <v/>
      </c>
      <c r="E89" s="21" t="str">
        <f t="shared" si="3"/>
        <v/>
      </c>
      <c r="F89" s="21" t="str">
        <f t="shared" si="4"/>
        <v/>
      </c>
      <c r="G89" s="21" t="str">
        <f t="shared" si="5"/>
        <v/>
      </c>
      <c r="H89" s="21" t="str">
        <f t="shared" ref="H89:H120" si="12">IF(A89="","",IF(B89="",NA(),G89^2))</f>
        <v/>
      </c>
      <c r="J89" s="5"/>
      <c r="K89" s="29"/>
      <c r="M89" s="15">
        <f t="shared" si="6"/>
        <v>-216.50376938593814</v>
      </c>
      <c r="N89" s="15">
        <f t="shared" si="7"/>
        <v>216.50376938593814</v>
      </c>
      <c r="P89" s="9">
        <v>65</v>
      </c>
      <c r="Q89" s="20">
        <f t="shared" si="8"/>
        <v>0</v>
      </c>
      <c r="R89" s="20">
        <f t="shared" si="9"/>
        <v>0</v>
      </c>
      <c r="S89" s="5">
        <f t="shared" ref="S89:S120" si="13">IF(C89&gt;$C$15,0,IF(ABS(G89)&gt;=$I$3,1,0))</f>
        <v>0</v>
      </c>
      <c r="T89">
        <f>SUM($S$26:S90)</f>
        <v>0</v>
      </c>
    </row>
    <row r="90" spans="1:20" x14ac:dyDescent="0.2">
      <c r="A90" s="6"/>
      <c r="B90" s="7"/>
      <c r="C90" s="9" t="str">
        <f t="shared" ref="C90:C120" si="14">IF(A90="","",A90)</f>
        <v/>
      </c>
      <c r="D90" s="24" t="str">
        <f t="shared" ref="D90:D120" si="15">IF(A90="","",LN(C90))</f>
        <v/>
      </c>
      <c r="E90" s="21" t="str">
        <f t="shared" ref="E90:E120" si="16">IF(A90="","",$N$17+$N$18*D90)</f>
        <v/>
      </c>
      <c r="F90" s="21" t="str">
        <f t="shared" ref="F90:F120" si="17">IF(A90="","",IF(B90="",NA(),B90-E90))</f>
        <v/>
      </c>
      <c r="G90" s="21" t="str">
        <f t="shared" ref="G90:G120" si="18">IF(A90="","",IF(B90="",NA(),F90^2))</f>
        <v/>
      </c>
      <c r="H90" s="21" t="str">
        <f t="shared" si="12"/>
        <v/>
      </c>
      <c r="J90" s="5"/>
      <c r="K90" s="29"/>
      <c r="M90" s="15">
        <f t="shared" ref="M90:M120" si="19">-$I$3</f>
        <v>-216.50376938593814</v>
      </c>
      <c r="N90" s="15">
        <f t="shared" ref="N90:N120" si="20">$I$3</f>
        <v>216.50376938593814</v>
      </c>
      <c r="P90" s="9">
        <v>66</v>
      </c>
      <c r="Q90" s="20">
        <f t="shared" si="8"/>
        <v>0</v>
      </c>
      <c r="R90" s="20">
        <f t="shared" si="9"/>
        <v>0</v>
      </c>
      <c r="S90" s="5">
        <f t="shared" si="13"/>
        <v>0</v>
      </c>
      <c r="T90">
        <f>SUM($S$26:S91)</f>
        <v>0</v>
      </c>
    </row>
    <row r="91" spans="1:20" x14ac:dyDescent="0.2">
      <c r="A91" s="6"/>
      <c r="B91" s="7"/>
      <c r="C91" s="9" t="str">
        <f t="shared" si="14"/>
        <v/>
      </c>
      <c r="D91" s="24" t="str">
        <f t="shared" si="15"/>
        <v/>
      </c>
      <c r="E91" s="21" t="str">
        <f t="shared" si="16"/>
        <v/>
      </c>
      <c r="F91" s="21" t="str">
        <f t="shared" si="17"/>
        <v/>
      </c>
      <c r="G91" s="21" t="str">
        <f t="shared" si="18"/>
        <v/>
      </c>
      <c r="H91" s="21" t="str">
        <f t="shared" si="12"/>
        <v/>
      </c>
      <c r="J91" s="5"/>
      <c r="K91" s="29"/>
      <c r="M91" s="15">
        <f t="shared" si="19"/>
        <v>-216.50376938593814</v>
      </c>
      <c r="N91" s="15">
        <f t="shared" si="20"/>
        <v>216.50376938593814</v>
      </c>
      <c r="P91" s="9">
        <v>67</v>
      </c>
      <c r="Q91" s="20">
        <f t="shared" ref="Q91:Q120" si="21">IF(B91="",0,+Q90+ABS(F91))</f>
        <v>0</v>
      </c>
      <c r="R91" s="20">
        <f t="shared" ref="R91:R120" si="22">IF(B91="",0,+R90+F91^2)</f>
        <v>0</v>
      </c>
      <c r="S91" s="5">
        <f t="shared" si="13"/>
        <v>0</v>
      </c>
      <c r="T91">
        <f>SUM($S$26:S92)</f>
        <v>0</v>
      </c>
    </row>
    <row r="92" spans="1:20" x14ac:dyDescent="0.2">
      <c r="A92" s="6"/>
      <c r="B92" s="7"/>
      <c r="C92" s="9" t="str">
        <f t="shared" si="14"/>
        <v/>
      </c>
      <c r="D92" s="24" t="str">
        <f t="shared" si="15"/>
        <v/>
      </c>
      <c r="E92" s="21" t="str">
        <f t="shared" si="16"/>
        <v/>
      </c>
      <c r="F92" s="21" t="str">
        <f t="shared" si="17"/>
        <v/>
      </c>
      <c r="G92" s="21" t="str">
        <f t="shared" si="18"/>
        <v/>
      </c>
      <c r="H92" s="21" t="str">
        <f t="shared" si="12"/>
        <v/>
      </c>
      <c r="J92" s="5"/>
      <c r="K92" s="29"/>
      <c r="M92" s="15">
        <f t="shared" si="19"/>
        <v>-216.50376938593814</v>
      </c>
      <c r="N92" s="15">
        <f t="shared" si="20"/>
        <v>216.50376938593814</v>
      </c>
      <c r="P92" s="9">
        <v>68</v>
      </c>
      <c r="Q92" s="20">
        <f t="shared" si="21"/>
        <v>0</v>
      </c>
      <c r="R92" s="20">
        <f t="shared" si="22"/>
        <v>0</v>
      </c>
      <c r="S92" s="5">
        <f t="shared" si="13"/>
        <v>0</v>
      </c>
      <c r="T92">
        <f>SUM($S$26:S93)</f>
        <v>0</v>
      </c>
    </row>
    <row r="93" spans="1:20" x14ac:dyDescent="0.2">
      <c r="A93" s="6"/>
      <c r="B93" s="7"/>
      <c r="C93" s="9" t="str">
        <f t="shared" si="14"/>
        <v/>
      </c>
      <c r="D93" s="24" t="str">
        <f t="shared" si="15"/>
        <v/>
      </c>
      <c r="E93" s="21" t="str">
        <f t="shared" si="16"/>
        <v/>
      </c>
      <c r="F93" s="21" t="str">
        <f t="shared" si="17"/>
        <v/>
      </c>
      <c r="G93" s="21" t="str">
        <f t="shared" si="18"/>
        <v/>
      </c>
      <c r="H93" s="21" t="str">
        <f t="shared" si="12"/>
        <v/>
      </c>
      <c r="J93" s="5"/>
      <c r="K93" s="29"/>
      <c r="M93" s="15">
        <f t="shared" si="19"/>
        <v>-216.50376938593814</v>
      </c>
      <c r="N93" s="15">
        <f t="shared" si="20"/>
        <v>216.50376938593814</v>
      </c>
      <c r="P93" s="9">
        <v>69</v>
      </c>
      <c r="Q93" s="20">
        <f t="shared" si="21"/>
        <v>0</v>
      </c>
      <c r="R93" s="20">
        <f t="shared" si="22"/>
        <v>0</v>
      </c>
      <c r="S93" s="5">
        <f t="shared" si="13"/>
        <v>0</v>
      </c>
      <c r="T93">
        <f>SUM($S$26:S94)</f>
        <v>0</v>
      </c>
    </row>
    <row r="94" spans="1:20" x14ac:dyDescent="0.2">
      <c r="A94" s="6"/>
      <c r="B94" s="7"/>
      <c r="C94" s="9" t="str">
        <f t="shared" si="14"/>
        <v/>
      </c>
      <c r="D94" s="24" t="str">
        <f t="shared" si="15"/>
        <v/>
      </c>
      <c r="E94" s="21" t="str">
        <f t="shared" si="16"/>
        <v/>
      </c>
      <c r="F94" s="21" t="str">
        <f t="shared" si="17"/>
        <v/>
      </c>
      <c r="G94" s="21" t="str">
        <f t="shared" si="18"/>
        <v/>
      </c>
      <c r="H94" s="21" t="str">
        <f t="shared" si="12"/>
        <v/>
      </c>
      <c r="J94" s="5"/>
      <c r="K94" s="29"/>
      <c r="M94" s="15">
        <f t="shared" si="19"/>
        <v>-216.50376938593814</v>
      </c>
      <c r="N94" s="15">
        <f t="shared" si="20"/>
        <v>216.50376938593814</v>
      </c>
      <c r="P94" s="9">
        <v>70</v>
      </c>
      <c r="Q94" s="20">
        <f t="shared" si="21"/>
        <v>0</v>
      </c>
      <c r="R94" s="20">
        <f t="shared" si="22"/>
        <v>0</v>
      </c>
      <c r="S94" s="5">
        <f t="shared" si="13"/>
        <v>0</v>
      </c>
      <c r="T94">
        <f>SUM($S$26:S95)</f>
        <v>0</v>
      </c>
    </row>
    <row r="95" spans="1:20" x14ac:dyDescent="0.2">
      <c r="A95" s="6"/>
      <c r="B95" s="7"/>
      <c r="C95" s="9" t="str">
        <f t="shared" si="14"/>
        <v/>
      </c>
      <c r="D95" s="24" t="str">
        <f t="shared" si="15"/>
        <v/>
      </c>
      <c r="E95" s="21" t="str">
        <f t="shared" si="16"/>
        <v/>
      </c>
      <c r="F95" s="21" t="str">
        <f t="shared" si="17"/>
        <v/>
      </c>
      <c r="G95" s="21" t="str">
        <f t="shared" si="18"/>
        <v/>
      </c>
      <c r="H95" s="21" t="str">
        <f t="shared" si="12"/>
        <v/>
      </c>
      <c r="J95" s="5"/>
      <c r="K95" s="29"/>
      <c r="M95" s="15">
        <f t="shared" si="19"/>
        <v>-216.50376938593814</v>
      </c>
      <c r="N95" s="15">
        <f t="shared" si="20"/>
        <v>216.50376938593814</v>
      </c>
      <c r="P95" s="9">
        <v>71</v>
      </c>
      <c r="Q95" s="20">
        <f t="shared" si="21"/>
        <v>0</v>
      </c>
      <c r="R95" s="20">
        <f t="shared" si="22"/>
        <v>0</v>
      </c>
      <c r="S95" s="5">
        <f t="shared" si="13"/>
        <v>0</v>
      </c>
      <c r="T95">
        <f>SUM($S$26:S96)</f>
        <v>0</v>
      </c>
    </row>
    <row r="96" spans="1:20" x14ac:dyDescent="0.2">
      <c r="A96" s="6"/>
      <c r="B96" s="7"/>
      <c r="C96" s="9" t="str">
        <f t="shared" si="14"/>
        <v/>
      </c>
      <c r="D96" s="24" t="str">
        <f t="shared" si="15"/>
        <v/>
      </c>
      <c r="E96" s="21" t="str">
        <f t="shared" si="16"/>
        <v/>
      </c>
      <c r="F96" s="21" t="str">
        <f t="shared" si="17"/>
        <v/>
      </c>
      <c r="G96" s="21" t="str">
        <f t="shared" si="18"/>
        <v/>
      </c>
      <c r="H96" s="21" t="str">
        <f t="shared" si="12"/>
        <v/>
      </c>
      <c r="J96" s="5"/>
      <c r="K96" s="29"/>
      <c r="M96" s="15">
        <f t="shared" si="19"/>
        <v>-216.50376938593814</v>
      </c>
      <c r="N96" s="15">
        <f t="shared" si="20"/>
        <v>216.50376938593814</v>
      </c>
      <c r="P96" s="9">
        <v>72</v>
      </c>
      <c r="Q96" s="20">
        <f t="shared" si="21"/>
        <v>0</v>
      </c>
      <c r="R96" s="20">
        <f t="shared" si="22"/>
        <v>0</v>
      </c>
      <c r="S96" s="5">
        <f t="shared" si="13"/>
        <v>0</v>
      </c>
      <c r="T96">
        <f>SUM($S$26:S97)</f>
        <v>0</v>
      </c>
    </row>
    <row r="97" spans="1:20" x14ac:dyDescent="0.2">
      <c r="A97" s="6"/>
      <c r="B97" s="7"/>
      <c r="C97" s="9" t="str">
        <f t="shared" si="14"/>
        <v/>
      </c>
      <c r="D97" s="24" t="str">
        <f t="shared" si="15"/>
        <v/>
      </c>
      <c r="E97" s="21" t="str">
        <f t="shared" si="16"/>
        <v/>
      </c>
      <c r="F97" s="21" t="str">
        <f t="shared" si="17"/>
        <v/>
      </c>
      <c r="G97" s="21" t="str">
        <f t="shared" si="18"/>
        <v/>
      </c>
      <c r="H97" s="21" t="str">
        <f t="shared" si="12"/>
        <v/>
      </c>
      <c r="J97" s="5"/>
      <c r="K97" s="29"/>
      <c r="M97" s="15">
        <f t="shared" si="19"/>
        <v>-216.50376938593814</v>
      </c>
      <c r="N97" s="15">
        <f t="shared" si="20"/>
        <v>216.50376938593814</v>
      </c>
      <c r="P97" s="9">
        <v>73</v>
      </c>
      <c r="Q97" s="20">
        <f t="shared" si="21"/>
        <v>0</v>
      </c>
      <c r="R97" s="20">
        <f t="shared" si="22"/>
        <v>0</v>
      </c>
      <c r="S97" s="5">
        <f t="shared" si="13"/>
        <v>0</v>
      </c>
      <c r="T97">
        <f>SUM($S$26:S98)</f>
        <v>0</v>
      </c>
    </row>
    <row r="98" spans="1:20" x14ac:dyDescent="0.2">
      <c r="A98" s="6"/>
      <c r="B98" s="7"/>
      <c r="C98" s="9" t="str">
        <f t="shared" si="14"/>
        <v/>
      </c>
      <c r="D98" s="24" t="str">
        <f t="shared" si="15"/>
        <v/>
      </c>
      <c r="E98" s="21" t="str">
        <f t="shared" si="16"/>
        <v/>
      </c>
      <c r="F98" s="21" t="str">
        <f t="shared" si="17"/>
        <v/>
      </c>
      <c r="G98" s="21" t="str">
        <f t="shared" si="18"/>
        <v/>
      </c>
      <c r="H98" s="21" t="str">
        <f t="shared" si="12"/>
        <v/>
      </c>
      <c r="J98" s="5"/>
      <c r="K98" s="29"/>
      <c r="M98" s="15">
        <f t="shared" si="19"/>
        <v>-216.50376938593814</v>
      </c>
      <c r="N98" s="15">
        <f t="shared" si="20"/>
        <v>216.50376938593814</v>
      </c>
      <c r="P98" s="9">
        <v>74</v>
      </c>
      <c r="Q98" s="20">
        <f t="shared" si="21"/>
        <v>0</v>
      </c>
      <c r="R98" s="20">
        <f t="shared" si="22"/>
        <v>0</v>
      </c>
      <c r="S98" s="5">
        <f t="shared" si="13"/>
        <v>0</v>
      </c>
      <c r="T98">
        <f>SUM($S$26:S99)</f>
        <v>0</v>
      </c>
    </row>
    <row r="99" spans="1:20" x14ac:dyDescent="0.2">
      <c r="A99" s="6"/>
      <c r="B99" s="7"/>
      <c r="C99" s="9" t="str">
        <f t="shared" si="14"/>
        <v/>
      </c>
      <c r="D99" s="24" t="str">
        <f t="shared" si="15"/>
        <v/>
      </c>
      <c r="E99" s="21" t="str">
        <f t="shared" si="16"/>
        <v/>
      </c>
      <c r="F99" s="21" t="str">
        <f t="shared" si="17"/>
        <v/>
      </c>
      <c r="G99" s="21" t="str">
        <f t="shared" si="18"/>
        <v/>
      </c>
      <c r="H99" s="21" t="str">
        <f t="shared" si="12"/>
        <v/>
      </c>
      <c r="J99" s="5"/>
      <c r="K99" s="29"/>
      <c r="M99" s="15">
        <f t="shared" si="19"/>
        <v>-216.50376938593814</v>
      </c>
      <c r="N99" s="15">
        <f t="shared" si="20"/>
        <v>216.50376938593814</v>
      </c>
      <c r="P99" s="9">
        <v>75</v>
      </c>
      <c r="Q99" s="20">
        <f t="shared" si="21"/>
        <v>0</v>
      </c>
      <c r="R99" s="20">
        <f t="shared" si="22"/>
        <v>0</v>
      </c>
      <c r="S99" s="5">
        <f t="shared" si="13"/>
        <v>0</v>
      </c>
      <c r="T99">
        <f>SUM($S$26:S100)</f>
        <v>0</v>
      </c>
    </row>
    <row r="100" spans="1:20" x14ac:dyDescent="0.2">
      <c r="A100" s="6"/>
      <c r="B100" s="7"/>
      <c r="C100" s="9" t="str">
        <f t="shared" si="14"/>
        <v/>
      </c>
      <c r="D100" s="24" t="str">
        <f t="shared" si="15"/>
        <v/>
      </c>
      <c r="E100" s="21" t="str">
        <f t="shared" si="16"/>
        <v/>
      </c>
      <c r="F100" s="21" t="str">
        <f t="shared" si="17"/>
        <v/>
      </c>
      <c r="G100" s="21" t="str">
        <f t="shared" si="18"/>
        <v/>
      </c>
      <c r="H100" s="21" t="str">
        <f t="shared" si="12"/>
        <v/>
      </c>
      <c r="J100" s="5"/>
      <c r="K100" s="29"/>
      <c r="M100" s="15">
        <f t="shared" si="19"/>
        <v>-216.50376938593814</v>
      </c>
      <c r="N100" s="15">
        <f t="shared" si="20"/>
        <v>216.50376938593814</v>
      </c>
      <c r="P100" s="9">
        <v>76</v>
      </c>
      <c r="Q100" s="20">
        <f t="shared" si="21"/>
        <v>0</v>
      </c>
      <c r="R100" s="20">
        <f t="shared" si="22"/>
        <v>0</v>
      </c>
      <c r="S100" s="5">
        <f t="shared" si="13"/>
        <v>0</v>
      </c>
      <c r="T100">
        <f>SUM($S$26:S101)</f>
        <v>0</v>
      </c>
    </row>
    <row r="101" spans="1:20" x14ac:dyDescent="0.2">
      <c r="A101" s="6"/>
      <c r="B101" s="7"/>
      <c r="C101" s="9" t="str">
        <f t="shared" si="14"/>
        <v/>
      </c>
      <c r="D101" s="24" t="str">
        <f t="shared" si="15"/>
        <v/>
      </c>
      <c r="E101" s="21" t="str">
        <f t="shared" si="16"/>
        <v/>
      </c>
      <c r="F101" s="21" t="str">
        <f t="shared" si="17"/>
        <v/>
      </c>
      <c r="G101" s="21" t="str">
        <f t="shared" si="18"/>
        <v/>
      </c>
      <c r="H101" s="21" t="str">
        <f t="shared" si="12"/>
        <v/>
      </c>
      <c r="J101" s="5"/>
      <c r="K101" s="29"/>
      <c r="M101" s="15">
        <f t="shared" si="19"/>
        <v>-216.50376938593814</v>
      </c>
      <c r="N101" s="15">
        <f t="shared" si="20"/>
        <v>216.50376938593814</v>
      </c>
      <c r="P101" s="9">
        <v>77</v>
      </c>
      <c r="Q101" s="20">
        <f t="shared" si="21"/>
        <v>0</v>
      </c>
      <c r="R101" s="20">
        <f t="shared" si="22"/>
        <v>0</v>
      </c>
      <c r="S101" s="5">
        <f t="shared" si="13"/>
        <v>0</v>
      </c>
      <c r="T101">
        <f>SUM($S$26:S102)</f>
        <v>0</v>
      </c>
    </row>
    <row r="102" spans="1:20" x14ac:dyDescent="0.2">
      <c r="A102" s="6"/>
      <c r="B102" s="7"/>
      <c r="C102" s="9" t="str">
        <f t="shared" si="14"/>
        <v/>
      </c>
      <c r="D102" s="24" t="str">
        <f t="shared" si="15"/>
        <v/>
      </c>
      <c r="E102" s="21" t="str">
        <f t="shared" si="16"/>
        <v/>
      </c>
      <c r="F102" s="21" t="str">
        <f t="shared" si="17"/>
        <v/>
      </c>
      <c r="G102" s="21" t="str">
        <f t="shared" si="18"/>
        <v/>
      </c>
      <c r="H102" s="21" t="str">
        <f t="shared" si="12"/>
        <v/>
      </c>
      <c r="J102" s="5"/>
      <c r="K102" s="29"/>
      <c r="M102" s="15">
        <f t="shared" si="19"/>
        <v>-216.50376938593814</v>
      </c>
      <c r="N102" s="15">
        <f t="shared" si="20"/>
        <v>216.50376938593814</v>
      </c>
      <c r="P102" s="9">
        <v>78</v>
      </c>
      <c r="Q102" s="20">
        <f t="shared" si="21"/>
        <v>0</v>
      </c>
      <c r="R102" s="20">
        <f t="shared" si="22"/>
        <v>0</v>
      </c>
      <c r="S102" s="5">
        <f t="shared" si="13"/>
        <v>0</v>
      </c>
      <c r="T102">
        <f>SUM($S$26:S103)</f>
        <v>0</v>
      </c>
    </row>
    <row r="103" spans="1:20" x14ac:dyDescent="0.2">
      <c r="A103" s="6"/>
      <c r="B103" s="7"/>
      <c r="C103" s="9" t="str">
        <f t="shared" si="14"/>
        <v/>
      </c>
      <c r="D103" s="24" t="str">
        <f t="shared" si="15"/>
        <v/>
      </c>
      <c r="E103" s="21" t="str">
        <f t="shared" si="16"/>
        <v/>
      </c>
      <c r="F103" s="21" t="str">
        <f t="shared" si="17"/>
        <v/>
      </c>
      <c r="G103" s="21" t="str">
        <f t="shared" si="18"/>
        <v/>
      </c>
      <c r="H103" s="21" t="str">
        <f t="shared" si="12"/>
        <v/>
      </c>
      <c r="J103" s="5"/>
      <c r="K103" s="29"/>
      <c r="M103" s="15">
        <f t="shared" si="19"/>
        <v>-216.50376938593814</v>
      </c>
      <c r="N103" s="15">
        <f t="shared" si="20"/>
        <v>216.50376938593814</v>
      </c>
      <c r="P103" s="9">
        <v>79</v>
      </c>
      <c r="Q103" s="20">
        <f t="shared" si="21"/>
        <v>0</v>
      </c>
      <c r="R103" s="20">
        <f t="shared" si="22"/>
        <v>0</v>
      </c>
      <c r="S103" s="5">
        <f t="shared" si="13"/>
        <v>0</v>
      </c>
      <c r="T103">
        <f>SUM($S$26:S104)</f>
        <v>0</v>
      </c>
    </row>
    <row r="104" spans="1:20" x14ac:dyDescent="0.2">
      <c r="A104" s="6"/>
      <c r="B104" s="7"/>
      <c r="C104" s="9" t="str">
        <f t="shared" si="14"/>
        <v/>
      </c>
      <c r="D104" s="24" t="str">
        <f t="shared" si="15"/>
        <v/>
      </c>
      <c r="E104" s="21" t="str">
        <f t="shared" si="16"/>
        <v/>
      </c>
      <c r="F104" s="21" t="str">
        <f t="shared" si="17"/>
        <v/>
      </c>
      <c r="G104" s="21" t="str">
        <f t="shared" si="18"/>
        <v/>
      </c>
      <c r="H104" s="21" t="str">
        <f t="shared" si="12"/>
        <v/>
      </c>
      <c r="J104" s="5"/>
      <c r="K104" s="29"/>
      <c r="M104" s="15">
        <f t="shared" si="19"/>
        <v>-216.50376938593814</v>
      </c>
      <c r="N104" s="15">
        <f t="shared" si="20"/>
        <v>216.50376938593814</v>
      </c>
      <c r="P104" s="9">
        <v>80</v>
      </c>
      <c r="Q104" s="20">
        <f t="shared" si="21"/>
        <v>0</v>
      </c>
      <c r="R104" s="20">
        <f t="shared" si="22"/>
        <v>0</v>
      </c>
      <c r="S104" s="5">
        <f t="shared" si="13"/>
        <v>0</v>
      </c>
      <c r="T104">
        <f>SUM($S$26:S105)</f>
        <v>0</v>
      </c>
    </row>
    <row r="105" spans="1:20" x14ac:dyDescent="0.2">
      <c r="A105" s="6"/>
      <c r="B105" s="7"/>
      <c r="C105" s="9" t="str">
        <f t="shared" si="14"/>
        <v/>
      </c>
      <c r="D105" s="24" t="str">
        <f t="shared" si="15"/>
        <v/>
      </c>
      <c r="E105" s="21" t="str">
        <f t="shared" si="16"/>
        <v/>
      </c>
      <c r="F105" s="21" t="str">
        <f t="shared" si="17"/>
        <v/>
      </c>
      <c r="G105" s="21" t="str">
        <f t="shared" si="18"/>
        <v/>
      </c>
      <c r="H105" s="21" t="str">
        <f t="shared" si="12"/>
        <v/>
      </c>
      <c r="J105" s="5"/>
      <c r="K105" s="29"/>
      <c r="M105" s="15">
        <f t="shared" si="19"/>
        <v>-216.50376938593814</v>
      </c>
      <c r="N105" s="15">
        <f t="shared" si="20"/>
        <v>216.50376938593814</v>
      </c>
      <c r="P105" s="9">
        <v>81</v>
      </c>
      <c r="Q105" s="20">
        <f t="shared" si="21"/>
        <v>0</v>
      </c>
      <c r="R105" s="20">
        <f t="shared" si="22"/>
        <v>0</v>
      </c>
      <c r="S105" s="5">
        <f t="shared" si="13"/>
        <v>0</v>
      </c>
      <c r="T105">
        <f>SUM($S$26:S106)</f>
        <v>0</v>
      </c>
    </row>
    <row r="106" spans="1:20" x14ac:dyDescent="0.2">
      <c r="A106" s="6"/>
      <c r="B106" s="7"/>
      <c r="C106" s="9" t="str">
        <f t="shared" si="14"/>
        <v/>
      </c>
      <c r="D106" s="24" t="str">
        <f t="shared" si="15"/>
        <v/>
      </c>
      <c r="E106" s="21" t="str">
        <f t="shared" si="16"/>
        <v/>
      </c>
      <c r="F106" s="21" t="str">
        <f t="shared" si="17"/>
        <v/>
      </c>
      <c r="G106" s="21" t="str">
        <f t="shared" si="18"/>
        <v/>
      </c>
      <c r="H106" s="21" t="str">
        <f t="shared" si="12"/>
        <v/>
      </c>
      <c r="J106" s="5"/>
      <c r="K106" s="29"/>
      <c r="M106" s="15">
        <f t="shared" si="19"/>
        <v>-216.50376938593814</v>
      </c>
      <c r="N106" s="15">
        <f t="shared" si="20"/>
        <v>216.50376938593814</v>
      </c>
      <c r="P106" s="9">
        <v>82</v>
      </c>
      <c r="Q106" s="20">
        <f t="shared" si="21"/>
        <v>0</v>
      </c>
      <c r="R106" s="20">
        <f t="shared" si="22"/>
        <v>0</v>
      </c>
      <c r="S106" s="5">
        <f t="shared" si="13"/>
        <v>0</v>
      </c>
      <c r="T106">
        <f>SUM($S$26:S107)</f>
        <v>0</v>
      </c>
    </row>
    <row r="107" spans="1:20" x14ac:dyDescent="0.2">
      <c r="A107" s="6"/>
      <c r="B107" s="7"/>
      <c r="C107" s="9" t="str">
        <f t="shared" si="14"/>
        <v/>
      </c>
      <c r="D107" s="24" t="str">
        <f t="shared" si="15"/>
        <v/>
      </c>
      <c r="E107" s="21" t="str">
        <f t="shared" si="16"/>
        <v/>
      </c>
      <c r="F107" s="21" t="str">
        <f t="shared" si="17"/>
        <v/>
      </c>
      <c r="G107" s="21" t="str">
        <f t="shared" si="18"/>
        <v/>
      </c>
      <c r="H107" s="21" t="str">
        <f t="shared" si="12"/>
        <v/>
      </c>
      <c r="J107" s="5"/>
      <c r="K107" s="29"/>
      <c r="M107" s="15">
        <f t="shared" si="19"/>
        <v>-216.50376938593814</v>
      </c>
      <c r="N107" s="15">
        <f t="shared" si="20"/>
        <v>216.50376938593814</v>
      </c>
      <c r="P107" s="9">
        <v>83</v>
      </c>
      <c r="Q107" s="20">
        <f t="shared" si="21"/>
        <v>0</v>
      </c>
      <c r="R107" s="20">
        <f t="shared" si="22"/>
        <v>0</v>
      </c>
      <c r="S107" s="5">
        <f t="shared" si="13"/>
        <v>0</v>
      </c>
      <c r="T107">
        <f>SUM($S$26:S108)</f>
        <v>0</v>
      </c>
    </row>
    <row r="108" spans="1:20" x14ac:dyDescent="0.2">
      <c r="A108" s="6"/>
      <c r="B108" s="7"/>
      <c r="C108" s="9" t="str">
        <f t="shared" si="14"/>
        <v/>
      </c>
      <c r="D108" s="24" t="str">
        <f t="shared" si="15"/>
        <v/>
      </c>
      <c r="E108" s="21" t="str">
        <f t="shared" si="16"/>
        <v/>
      </c>
      <c r="F108" s="21" t="str">
        <f t="shared" si="17"/>
        <v/>
      </c>
      <c r="G108" s="21" t="str">
        <f t="shared" si="18"/>
        <v/>
      </c>
      <c r="H108" s="21" t="str">
        <f t="shared" si="12"/>
        <v/>
      </c>
      <c r="J108" s="5"/>
      <c r="K108" s="29"/>
      <c r="M108" s="15">
        <f t="shared" si="19"/>
        <v>-216.50376938593814</v>
      </c>
      <c r="N108" s="15">
        <f t="shared" si="20"/>
        <v>216.50376938593814</v>
      </c>
      <c r="P108" s="9">
        <v>84</v>
      </c>
      <c r="Q108" s="20">
        <f t="shared" si="21"/>
        <v>0</v>
      </c>
      <c r="R108" s="20">
        <f t="shared" si="22"/>
        <v>0</v>
      </c>
      <c r="S108" s="5">
        <f t="shared" si="13"/>
        <v>0</v>
      </c>
      <c r="T108">
        <f>SUM($S$26:S109)</f>
        <v>0</v>
      </c>
    </row>
    <row r="109" spans="1:20" x14ac:dyDescent="0.2">
      <c r="A109" s="6"/>
      <c r="B109" s="7"/>
      <c r="C109" s="9" t="str">
        <f t="shared" si="14"/>
        <v/>
      </c>
      <c r="D109" s="24" t="str">
        <f t="shared" si="15"/>
        <v/>
      </c>
      <c r="E109" s="21" t="str">
        <f t="shared" si="16"/>
        <v/>
      </c>
      <c r="F109" s="21" t="str">
        <f t="shared" si="17"/>
        <v/>
      </c>
      <c r="G109" s="21" t="str">
        <f t="shared" si="18"/>
        <v/>
      </c>
      <c r="H109" s="21" t="str">
        <f t="shared" si="12"/>
        <v/>
      </c>
      <c r="J109" s="5"/>
      <c r="K109" s="29"/>
      <c r="M109" s="15">
        <f t="shared" si="19"/>
        <v>-216.50376938593814</v>
      </c>
      <c r="N109" s="15">
        <f t="shared" si="20"/>
        <v>216.50376938593814</v>
      </c>
      <c r="P109" s="9">
        <v>85</v>
      </c>
      <c r="Q109" s="20">
        <f t="shared" si="21"/>
        <v>0</v>
      </c>
      <c r="R109" s="20">
        <f t="shared" si="22"/>
        <v>0</v>
      </c>
      <c r="S109" s="5">
        <f t="shared" si="13"/>
        <v>0</v>
      </c>
      <c r="T109">
        <f>SUM($S$26:S110)</f>
        <v>0</v>
      </c>
    </row>
    <row r="110" spans="1:20" x14ac:dyDescent="0.2">
      <c r="A110" s="6"/>
      <c r="B110" s="7"/>
      <c r="C110" s="9" t="str">
        <f t="shared" si="14"/>
        <v/>
      </c>
      <c r="D110" s="24" t="str">
        <f t="shared" si="15"/>
        <v/>
      </c>
      <c r="E110" s="21" t="str">
        <f t="shared" si="16"/>
        <v/>
      </c>
      <c r="F110" s="21" t="str">
        <f t="shared" si="17"/>
        <v/>
      </c>
      <c r="G110" s="21" t="str">
        <f t="shared" si="18"/>
        <v/>
      </c>
      <c r="H110" s="21" t="str">
        <f t="shared" si="12"/>
        <v/>
      </c>
      <c r="J110" s="5"/>
      <c r="K110" s="29"/>
      <c r="M110" s="15">
        <f t="shared" si="19"/>
        <v>-216.50376938593814</v>
      </c>
      <c r="N110" s="15">
        <f t="shared" si="20"/>
        <v>216.50376938593814</v>
      </c>
      <c r="P110" s="9">
        <v>86</v>
      </c>
      <c r="Q110" s="20">
        <f t="shared" si="21"/>
        <v>0</v>
      </c>
      <c r="R110" s="20">
        <f t="shared" si="22"/>
        <v>0</v>
      </c>
      <c r="S110" s="5">
        <f t="shared" si="13"/>
        <v>0</v>
      </c>
      <c r="T110">
        <f>SUM($S$26:S111)</f>
        <v>0</v>
      </c>
    </row>
    <row r="111" spans="1:20" x14ac:dyDescent="0.2">
      <c r="A111" s="6"/>
      <c r="B111" s="7"/>
      <c r="C111" s="9" t="str">
        <f t="shared" si="14"/>
        <v/>
      </c>
      <c r="D111" s="24" t="str">
        <f t="shared" si="15"/>
        <v/>
      </c>
      <c r="E111" s="21" t="str">
        <f t="shared" si="16"/>
        <v/>
      </c>
      <c r="F111" s="21" t="str">
        <f t="shared" si="17"/>
        <v/>
      </c>
      <c r="G111" s="21" t="str">
        <f t="shared" si="18"/>
        <v/>
      </c>
      <c r="H111" s="21" t="str">
        <f t="shared" si="12"/>
        <v/>
      </c>
      <c r="J111" s="5"/>
      <c r="K111" s="29"/>
      <c r="M111" s="15">
        <f t="shared" si="19"/>
        <v>-216.50376938593814</v>
      </c>
      <c r="N111" s="15">
        <f t="shared" si="20"/>
        <v>216.50376938593814</v>
      </c>
      <c r="P111" s="9">
        <v>87</v>
      </c>
      <c r="Q111" s="20">
        <f t="shared" si="21"/>
        <v>0</v>
      </c>
      <c r="R111" s="20">
        <f t="shared" si="22"/>
        <v>0</v>
      </c>
      <c r="S111" s="5">
        <f t="shared" si="13"/>
        <v>0</v>
      </c>
      <c r="T111">
        <f>SUM($S$26:S112)</f>
        <v>0</v>
      </c>
    </row>
    <row r="112" spans="1:20" x14ac:dyDescent="0.2">
      <c r="A112" s="6"/>
      <c r="B112" s="7"/>
      <c r="C112" s="9" t="str">
        <f t="shared" si="14"/>
        <v/>
      </c>
      <c r="D112" s="24" t="str">
        <f t="shared" si="15"/>
        <v/>
      </c>
      <c r="E112" s="21" t="str">
        <f t="shared" si="16"/>
        <v/>
      </c>
      <c r="F112" s="21" t="str">
        <f t="shared" si="17"/>
        <v/>
      </c>
      <c r="G112" s="21" t="str">
        <f t="shared" si="18"/>
        <v/>
      </c>
      <c r="H112" s="21" t="str">
        <f t="shared" si="12"/>
        <v/>
      </c>
      <c r="J112" s="5"/>
      <c r="K112" s="29"/>
      <c r="M112" s="15">
        <f t="shared" si="19"/>
        <v>-216.50376938593814</v>
      </c>
      <c r="N112" s="15">
        <f t="shared" si="20"/>
        <v>216.50376938593814</v>
      </c>
      <c r="P112" s="9">
        <v>88</v>
      </c>
      <c r="Q112" s="20">
        <f t="shared" si="21"/>
        <v>0</v>
      </c>
      <c r="R112" s="20">
        <f t="shared" si="22"/>
        <v>0</v>
      </c>
      <c r="S112" s="5">
        <f t="shared" si="13"/>
        <v>0</v>
      </c>
      <c r="T112">
        <f>SUM($S$26:S113)</f>
        <v>0</v>
      </c>
    </row>
    <row r="113" spans="1:20" x14ac:dyDescent="0.2">
      <c r="A113" s="6"/>
      <c r="B113" s="7"/>
      <c r="C113" s="9" t="str">
        <f t="shared" si="14"/>
        <v/>
      </c>
      <c r="D113" s="24" t="str">
        <f t="shared" si="15"/>
        <v/>
      </c>
      <c r="E113" s="21" t="str">
        <f t="shared" si="16"/>
        <v/>
      </c>
      <c r="F113" s="21" t="str">
        <f t="shared" si="17"/>
        <v/>
      </c>
      <c r="G113" s="21" t="str">
        <f t="shared" si="18"/>
        <v/>
      </c>
      <c r="H113" s="21" t="str">
        <f t="shared" si="12"/>
        <v/>
      </c>
      <c r="J113" s="5"/>
      <c r="K113" s="29"/>
      <c r="M113" s="15">
        <f t="shared" si="19"/>
        <v>-216.50376938593814</v>
      </c>
      <c r="N113" s="15">
        <f t="shared" si="20"/>
        <v>216.50376938593814</v>
      </c>
      <c r="P113" s="9">
        <v>89</v>
      </c>
      <c r="Q113" s="20">
        <f t="shared" si="21"/>
        <v>0</v>
      </c>
      <c r="R113" s="20">
        <f t="shared" si="22"/>
        <v>0</v>
      </c>
      <c r="S113" s="5">
        <f t="shared" si="13"/>
        <v>0</v>
      </c>
      <c r="T113">
        <f>SUM($S$26:S114)</f>
        <v>0</v>
      </c>
    </row>
    <row r="114" spans="1:20" x14ac:dyDescent="0.2">
      <c r="A114" s="6"/>
      <c r="B114" s="7"/>
      <c r="C114" s="9" t="str">
        <f t="shared" si="14"/>
        <v/>
      </c>
      <c r="D114" s="24" t="str">
        <f t="shared" si="15"/>
        <v/>
      </c>
      <c r="E114" s="21" t="str">
        <f t="shared" si="16"/>
        <v/>
      </c>
      <c r="F114" s="21" t="str">
        <f t="shared" si="17"/>
        <v/>
      </c>
      <c r="G114" s="21" t="str">
        <f t="shared" si="18"/>
        <v/>
      </c>
      <c r="H114" s="21" t="str">
        <f t="shared" si="12"/>
        <v/>
      </c>
      <c r="J114" s="5"/>
      <c r="K114" s="29"/>
      <c r="M114" s="15">
        <f t="shared" si="19"/>
        <v>-216.50376938593814</v>
      </c>
      <c r="N114" s="15">
        <f t="shared" si="20"/>
        <v>216.50376938593814</v>
      </c>
      <c r="P114" s="9">
        <v>90</v>
      </c>
      <c r="Q114" s="20">
        <f t="shared" si="21"/>
        <v>0</v>
      </c>
      <c r="R114" s="20">
        <f t="shared" si="22"/>
        <v>0</v>
      </c>
      <c r="S114" s="5">
        <f t="shared" si="13"/>
        <v>0</v>
      </c>
      <c r="T114">
        <f>SUM($S$26:S115)</f>
        <v>0</v>
      </c>
    </row>
    <row r="115" spans="1:20" x14ac:dyDescent="0.2">
      <c r="A115" s="6"/>
      <c r="B115" s="7"/>
      <c r="C115" s="9" t="str">
        <f t="shared" si="14"/>
        <v/>
      </c>
      <c r="D115" s="24" t="str">
        <f t="shared" si="15"/>
        <v/>
      </c>
      <c r="E115" s="21" t="str">
        <f t="shared" si="16"/>
        <v/>
      </c>
      <c r="F115" s="21" t="str">
        <f t="shared" si="17"/>
        <v/>
      </c>
      <c r="G115" s="21" t="str">
        <f t="shared" si="18"/>
        <v/>
      </c>
      <c r="H115" s="21" t="str">
        <f t="shared" si="12"/>
        <v/>
      </c>
      <c r="J115" s="5"/>
      <c r="K115" s="29"/>
      <c r="M115" s="15">
        <f t="shared" si="19"/>
        <v>-216.50376938593814</v>
      </c>
      <c r="N115" s="15">
        <f t="shared" si="20"/>
        <v>216.50376938593814</v>
      </c>
      <c r="P115" s="9">
        <v>91</v>
      </c>
      <c r="Q115" s="20">
        <f t="shared" si="21"/>
        <v>0</v>
      </c>
      <c r="R115" s="20">
        <f t="shared" si="22"/>
        <v>0</v>
      </c>
      <c r="S115" s="5">
        <f t="shared" si="13"/>
        <v>0</v>
      </c>
      <c r="T115">
        <f>SUM($S$26:S116)</f>
        <v>0</v>
      </c>
    </row>
    <row r="116" spans="1:20" x14ac:dyDescent="0.2">
      <c r="A116" s="6"/>
      <c r="B116" s="7"/>
      <c r="C116" s="9" t="str">
        <f t="shared" si="14"/>
        <v/>
      </c>
      <c r="D116" s="24" t="str">
        <f t="shared" si="15"/>
        <v/>
      </c>
      <c r="E116" s="21" t="str">
        <f t="shared" si="16"/>
        <v/>
      </c>
      <c r="F116" s="21" t="str">
        <f t="shared" si="17"/>
        <v/>
      </c>
      <c r="G116" s="21" t="str">
        <f t="shared" si="18"/>
        <v/>
      </c>
      <c r="H116" s="21" t="str">
        <f t="shared" si="12"/>
        <v/>
      </c>
      <c r="J116" s="5"/>
      <c r="K116" s="29"/>
      <c r="M116" s="15">
        <f t="shared" si="19"/>
        <v>-216.50376938593814</v>
      </c>
      <c r="N116" s="15">
        <f t="shared" si="20"/>
        <v>216.50376938593814</v>
      </c>
      <c r="P116" s="9">
        <v>92</v>
      </c>
      <c r="Q116" s="20">
        <f t="shared" si="21"/>
        <v>0</v>
      </c>
      <c r="R116" s="20">
        <f t="shared" si="22"/>
        <v>0</v>
      </c>
      <c r="S116" s="5">
        <f t="shared" si="13"/>
        <v>0</v>
      </c>
      <c r="T116">
        <f>SUM($S$26:S117)</f>
        <v>0</v>
      </c>
    </row>
    <row r="117" spans="1:20" x14ac:dyDescent="0.2">
      <c r="A117" s="6"/>
      <c r="B117" s="7"/>
      <c r="C117" s="9" t="str">
        <f t="shared" si="14"/>
        <v/>
      </c>
      <c r="D117" s="24" t="str">
        <f t="shared" si="15"/>
        <v/>
      </c>
      <c r="E117" s="21" t="str">
        <f t="shared" si="16"/>
        <v/>
      </c>
      <c r="F117" s="21" t="str">
        <f t="shared" si="17"/>
        <v/>
      </c>
      <c r="G117" s="21" t="str">
        <f t="shared" si="18"/>
        <v/>
      </c>
      <c r="H117" s="21" t="str">
        <f t="shared" si="12"/>
        <v/>
      </c>
      <c r="J117" s="5"/>
      <c r="K117" s="29"/>
      <c r="M117" s="15">
        <f t="shared" si="19"/>
        <v>-216.50376938593814</v>
      </c>
      <c r="N117" s="15">
        <f t="shared" si="20"/>
        <v>216.50376938593814</v>
      </c>
      <c r="P117" s="9">
        <v>93</v>
      </c>
      <c r="Q117" s="20">
        <f t="shared" si="21"/>
        <v>0</v>
      </c>
      <c r="R117" s="20">
        <f t="shared" si="22"/>
        <v>0</v>
      </c>
      <c r="S117" s="5">
        <f t="shared" si="13"/>
        <v>0</v>
      </c>
      <c r="T117">
        <f>SUM($S$26:S118)</f>
        <v>0</v>
      </c>
    </row>
    <row r="118" spans="1:20" x14ac:dyDescent="0.2">
      <c r="A118" s="6"/>
      <c r="B118" s="7"/>
      <c r="C118" s="9" t="str">
        <f t="shared" si="14"/>
        <v/>
      </c>
      <c r="D118" s="24" t="str">
        <f t="shared" si="15"/>
        <v/>
      </c>
      <c r="E118" s="21" t="str">
        <f t="shared" si="16"/>
        <v/>
      </c>
      <c r="F118" s="21" t="str">
        <f t="shared" si="17"/>
        <v/>
      </c>
      <c r="G118" s="21" t="str">
        <f t="shared" si="18"/>
        <v/>
      </c>
      <c r="H118" s="21" t="str">
        <f t="shared" si="12"/>
        <v/>
      </c>
      <c r="J118" s="5"/>
      <c r="K118" s="29"/>
      <c r="M118" s="15">
        <f t="shared" si="19"/>
        <v>-216.50376938593814</v>
      </c>
      <c r="N118" s="15">
        <f t="shared" si="20"/>
        <v>216.50376938593814</v>
      </c>
      <c r="P118" s="9">
        <v>94</v>
      </c>
      <c r="Q118" s="20">
        <f t="shared" si="21"/>
        <v>0</v>
      </c>
      <c r="R118" s="20">
        <f t="shared" si="22"/>
        <v>0</v>
      </c>
      <c r="S118" s="5">
        <f t="shared" si="13"/>
        <v>0</v>
      </c>
      <c r="T118">
        <f>SUM($S$26:S119)</f>
        <v>0</v>
      </c>
    </row>
    <row r="119" spans="1:20" x14ac:dyDescent="0.2">
      <c r="A119" s="6"/>
      <c r="B119" s="7"/>
      <c r="C119" s="9" t="str">
        <f t="shared" si="14"/>
        <v/>
      </c>
      <c r="D119" s="24" t="str">
        <f t="shared" si="15"/>
        <v/>
      </c>
      <c r="E119" s="21" t="str">
        <f t="shared" si="16"/>
        <v/>
      </c>
      <c r="F119" s="21" t="str">
        <f t="shared" si="17"/>
        <v/>
      </c>
      <c r="G119" s="21" t="str">
        <f t="shared" si="18"/>
        <v/>
      </c>
      <c r="H119" s="21" t="str">
        <f t="shared" si="12"/>
        <v/>
      </c>
      <c r="J119" s="11"/>
      <c r="K119" s="30"/>
      <c r="M119" s="15">
        <f t="shared" si="19"/>
        <v>-216.50376938593814</v>
      </c>
      <c r="N119" s="15">
        <f t="shared" si="20"/>
        <v>216.50376938593814</v>
      </c>
      <c r="P119" s="9">
        <v>95</v>
      </c>
      <c r="Q119" s="20">
        <f t="shared" si="21"/>
        <v>0</v>
      </c>
      <c r="R119" s="20">
        <f t="shared" si="22"/>
        <v>0</v>
      </c>
      <c r="S119" s="5">
        <f t="shared" si="13"/>
        <v>0</v>
      </c>
      <c r="T119">
        <f>SUM($S$26:S120)</f>
        <v>0</v>
      </c>
    </row>
    <row r="120" spans="1:20" x14ac:dyDescent="0.2">
      <c r="A120" s="6"/>
      <c r="B120" s="7"/>
      <c r="C120" s="9" t="str">
        <f t="shared" si="14"/>
        <v/>
      </c>
      <c r="D120" s="24" t="str">
        <f t="shared" si="15"/>
        <v/>
      </c>
      <c r="E120" s="21" t="str">
        <f t="shared" si="16"/>
        <v/>
      </c>
      <c r="F120" s="21" t="str">
        <f t="shared" si="17"/>
        <v/>
      </c>
      <c r="G120" s="21" t="str">
        <f t="shared" si="18"/>
        <v/>
      </c>
      <c r="H120" s="21" t="str">
        <f t="shared" si="12"/>
        <v/>
      </c>
      <c r="J120" s="11"/>
      <c r="K120" s="30"/>
      <c r="M120" s="15">
        <f t="shared" si="19"/>
        <v>-216.50376938593814</v>
      </c>
      <c r="N120" s="15">
        <f t="shared" si="20"/>
        <v>216.50376938593814</v>
      </c>
      <c r="P120" s="9">
        <v>96</v>
      </c>
      <c r="Q120" s="20">
        <f t="shared" si="21"/>
        <v>0</v>
      </c>
      <c r="R120" s="20">
        <f t="shared" si="22"/>
        <v>0</v>
      </c>
      <c r="S120" s="5">
        <f t="shared" si="13"/>
        <v>0</v>
      </c>
      <c r="T120">
        <f>SUM($S$26:S121)</f>
        <v>0</v>
      </c>
    </row>
    <row r="121" spans="1:20" x14ac:dyDescent="0.2">
      <c r="D121" s="21"/>
      <c r="E121" s="21"/>
      <c r="G121" s="21"/>
      <c r="J121" s="11"/>
      <c r="K121" s="30"/>
      <c r="N121" s="11"/>
      <c r="O121" s="11"/>
    </row>
    <row r="122" spans="1:20" x14ac:dyDescent="0.2">
      <c r="D122" s="21"/>
      <c r="E122" s="21"/>
      <c r="G122" s="21"/>
      <c r="J122" s="11"/>
      <c r="K122" s="30"/>
      <c r="N122" s="11"/>
      <c r="O122" s="11"/>
    </row>
    <row r="123" spans="1:20" x14ac:dyDescent="0.2">
      <c r="D123" s="21"/>
      <c r="E123" s="21"/>
      <c r="G123" s="21"/>
      <c r="J123" s="11"/>
      <c r="K123" s="30"/>
      <c r="N123" s="11"/>
      <c r="O123" s="11"/>
    </row>
    <row r="124" spans="1:20" x14ac:dyDescent="0.2">
      <c r="D124" s="21"/>
      <c r="E124" s="21"/>
      <c r="G124" s="21"/>
      <c r="J124" s="11"/>
      <c r="K124" s="30"/>
      <c r="N124" s="11"/>
      <c r="O124" s="11"/>
    </row>
    <row r="125" spans="1:20" x14ac:dyDescent="0.2">
      <c r="D125" s="21"/>
      <c r="E125" s="21"/>
      <c r="G125" s="21"/>
      <c r="J125" s="11"/>
      <c r="K125" s="30"/>
      <c r="N125" s="11"/>
      <c r="O125" s="11"/>
    </row>
    <row r="126" spans="1:20" x14ac:dyDescent="0.2">
      <c r="D126" s="21"/>
      <c r="E126" s="21"/>
      <c r="G126" s="21"/>
      <c r="J126" s="11"/>
      <c r="K126" s="30"/>
      <c r="N126" s="11"/>
      <c r="O126" s="11"/>
    </row>
    <row r="127" spans="1:20" x14ac:dyDescent="0.2">
      <c r="D127" s="21"/>
      <c r="E127" s="21"/>
      <c r="G127" s="21"/>
      <c r="J127" s="11"/>
      <c r="K127" s="30"/>
      <c r="N127" s="11"/>
      <c r="O127" s="11"/>
    </row>
    <row r="128" spans="1:20" x14ac:dyDescent="0.2">
      <c r="D128" s="21"/>
      <c r="E128" s="21"/>
      <c r="G128" s="21"/>
      <c r="J128" s="11"/>
      <c r="K128" s="30"/>
      <c r="N128" s="11"/>
      <c r="O128" s="11"/>
    </row>
    <row r="129" spans="4:15" x14ac:dyDescent="0.2">
      <c r="D129" s="21"/>
      <c r="E129" s="21"/>
      <c r="G129" s="21"/>
      <c r="J129" s="11"/>
      <c r="K129" s="30"/>
      <c r="N129" s="11"/>
      <c r="O129" s="11"/>
    </row>
    <row r="130" spans="4:15" x14ac:dyDescent="0.2">
      <c r="D130" s="21"/>
      <c r="E130" s="21"/>
      <c r="G130" s="21"/>
      <c r="J130" s="11"/>
      <c r="K130" s="30"/>
      <c r="N130" s="11"/>
      <c r="O130" s="11"/>
    </row>
    <row r="131" spans="4:15" x14ac:dyDescent="0.2">
      <c r="D131" s="21"/>
      <c r="E131" s="21"/>
      <c r="G131" s="21"/>
      <c r="J131" s="11"/>
      <c r="K131" s="30"/>
      <c r="N131" s="11"/>
      <c r="O131" s="11"/>
    </row>
    <row r="132" spans="4:15" x14ac:dyDescent="0.2">
      <c r="D132" s="21"/>
      <c r="E132" s="21"/>
      <c r="G132" s="21"/>
      <c r="J132" s="11"/>
      <c r="K132" s="30"/>
      <c r="N132" s="11"/>
      <c r="O132" s="11"/>
    </row>
    <row r="133" spans="4:15" x14ac:dyDescent="0.2">
      <c r="D133" s="21"/>
      <c r="E133" s="21"/>
      <c r="F133" s="21"/>
      <c r="J133" s="11"/>
      <c r="K133" s="30"/>
      <c r="N133" s="11"/>
      <c r="O133" s="11"/>
    </row>
    <row r="134" spans="4:15" x14ac:dyDescent="0.2">
      <c r="D134" s="21"/>
      <c r="E134" s="21"/>
      <c r="F134" s="21"/>
      <c r="J134" s="11"/>
      <c r="K134" s="30"/>
      <c r="N134" s="11"/>
      <c r="O134" s="11"/>
    </row>
    <row r="135" spans="4:15" x14ac:dyDescent="0.2">
      <c r="D135" s="21"/>
      <c r="E135" s="21"/>
      <c r="F135" s="21"/>
      <c r="J135" s="11"/>
      <c r="K135" s="30"/>
      <c r="N135" s="11"/>
      <c r="O135" s="11"/>
    </row>
    <row r="136" spans="4:15" x14ac:dyDescent="0.2">
      <c r="D136" s="21"/>
      <c r="E136" s="21"/>
      <c r="F136" s="21"/>
      <c r="J136" s="3"/>
      <c r="K136" s="31"/>
      <c r="N136" s="11"/>
      <c r="O136" s="11"/>
    </row>
    <row r="137" spans="4:15" x14ac:dyDescent="0.2">
      <c r="D137" s="21"/>
      <c r="E137" s="21"/>
      <c r="F137" s="21"/>
      <c r="J137" s="3"/>
      <c r="K137" s="31"/>
      <c r="N137" s="3"/>
      <c r="O137" s="3"/>
    </row>
    <row r="138" spans="4:15" x14ac:dyDescent="0.2">
      <c r="D138" s="21"/>
      <c r="E138" s="21"/>
      <c r="F138" s="21"/>
      <c r="J138" s="3"/>
      <c r="K138" s="31"/>
      <c r="N138" s="3"/>
      <c r="O138" s="3"/>
    </row>
    <row r="139" spans="4:15" x14ac:dyDescent="0.2">
      <c r="D139" s="21"/>
      <c r="E139" s="21"/>
      <c r="F139" s="21"/>
      <c r="J139" s="3"/>
      <c r="K139" s="31"/>
      <c r="N139" s="3"/>
      <c r="O139" s="3"/>
    </row>
    <row r="140" spans="4:15" x14ac:dyDescent="0.2">
      <c r="D140" s="21"/>
      <c r="E140" s="21"/>
      <c r="F140" s="21"/>
      <c r="J140" s="3"/>
      <c r="K140" s="31"/>
      <c r="N140" s="3"/>
      <c r="O140" s="3"/>
    </row>
    <row r="141" spans="4:15" x14ac:dyDescent="0.2">
      <c r="D141" s="21"/>
      <c r="E141" s="21"/>
      <c r="F141" s="21"/>
      <c r="J141" s="3"/>
      <c r="K141" s="31"/>
      <c r="N141" s="3"/>
      <c r="O141" s="3"/>
    </row>
    <row r="142" spans="4:15" x14ac:dyDescent="0.2">
      <c r="D142" s="21"/>
      <c r="E142" s="21"/>
      <c r="F142" s="21"/>
      <c r="J142" s="3"/>
      <c r="K142" s="31"/>
      <c r="N142" s="3"/>
      <c r="O142" s="3"/>
    </row>
    <row r="143" spans="4:15" x14ac:dyDescent="0.2">
      <c r="D143" s="21"/>
      <c r="E143" s="21"/>
      <c r="F143" s="21"/>
      <c r="J143" s="3"/>
      <c r="K143" s="31"/>
      <c r="N143" s="3"/>
      <c r="O143" s="3"/>
    </row>
    <row r="144" spans="4:15" x14ac:dyDescent="0.2">
      <c r="D144" s="21"/>
      <c r="E144" s="21"/>
      <c r="F144" s="21"/>
      <c r="J144" s="3"/>
      <c r="K144" s="31"/>
      <c r="N144" s="3"/>
      <c r="O144" s="3"/>
    </row>
    <row r="145" spans="4:15" x14ac:dyDescent="0.2">
      <c r="D145" s="21"/>
      <c r="E145" s="21"/>
      <c r="F145" s="21"/>
      <c r="J145" s="3"/>
      <c r="K145" s="31"/>
      <c r="N145" s="3"/>
      <c r="O145" s="3"/>
    </row>
    <row r="146" spans="4:15" x14ac:dyDescent="0.2">
      <c r="D146" s="21"/>
      <c r="E146" s="21"/>
      <c r="F146" s="21"/>
      <c r="J146" s="3"/>
      <c r="K146" s="31"/>
      <c r="N146" s="3"/>
      <c r="O146" s="3"/>
    </row>
    <row r="147" spans="4:15" x14ac:dyDescent="0.2">
      <c r="D147" s="21"/>
      <c r="E147" s="21"/>
      <c r="F147" s="21"/>
      <c r="J147" s="3"/>
      <c r="K147" s="31"/>
      <c r="N147" s="3"/>
      <c r="O147" s="3"/>
    </row>
    <row r="148" spans="4:15" x14ac:dyDescent="0.2">
      <c r="D148" s="21"/>
      <c r="E148" s="21"/>
      <c r="F148" s="21"/>
      <c r="J148" s="3"/>
      <c r="K148" s="31"/>
      <c r="N148" s="3"/>
      <c r="O148" s="3"/>
    </row>
    <row r="149" spans="4:15" x14ac:dyDescent="0.2">
      <c r="D149" s="21"/>
      <c r="E149" s="21"/>
      <c r="F149" s="21"/>
      <c r="J149" s="3"/>
      <c r="K149" s="31"/>
      <c r="N149" s="3"/>
      <c r="O149" s="3"/>
    </row>
    <row r="150" spans="4:15" x14ac:dyDescent="0.2">
      <c r="D150" s="21"/>
      <c r="E150" s="21"/>
      <c r="F150" s="21"/>
      <c r="J150" s="3"/>
      <c r="K150" s="31"/>
      <c r="N150" s="3"/>
      <c r="O150" s="3"/>
    </row>
    <row r="151" spans="4:15" x14ac:dyDescent="0.2">
      <c r="D151" s="21"/>
      <c r="E151" s="21"/>
      <c r="F151" s="21"/>
      <c r="J151" s="3"/>
      <c r="K151" s="31"/>
      <c r="N151" s="3"/>
      <c r="O151" s="3"/>
    </row>
    <row r="152" spans="4:15" x14ac:dyDescent="0.2">
      <c r="D152" s="21"/>
      <c r="E152" s="21"/>
      <c r="F152" s="21"/>
      <c r="H152" s="3"/>
      <c r="I152" s="3"/>
      <c r="J152" s="3"/>
      <c r="K152" s="31"/>
      <c r="N152" s="3"/>
      <c r="O152" s="3"/>
    </row>
    <row r="153" spans="4:15" x14ac:dyDescent="0.2">
      <c r="D153" s="21"/>
      <c r="E153" s="21"/>
      <c r="F153" s="21"/>
      <c r="H153" s="3"/>
      <c r="I153" s="3"/>
      <c r="J153" s="3"/>
      <c r="K153" s="31"/>
      <c r="M153" s="3"/>
      <c r="N153" s="3"/>
      <c r="O153" s="3"/>
    </row>
    <row r="154" spans="4:15" x14ac:dyDescent="0.2">
      <c r="D154" s="21"/>
      <c r="E154" s="21"/>
      <c r="F154" s="21"/>
      <c r="H154" s="3"/>
      <c r="I154" s="3"/>
      <c r="J154" s="3"/>
      <c r="K154" s="31"/>
      <c r="M154" s="3"/>
      <c r="N154" s="3"/>
      <c r="O154" s="3"/>
    </row>
    <row r="155" spans="4:15" x14ac:dyDescent="0.2">
      <c r="D155" s="21"/>
      <c r="E155" s="21"/>
      <c r="F155" s="21"/>
    </row>
    <row r="156" spans="4:15" x14ac:dyDescent="0.2">
      <c r="D156" s="21"/>
      <c r="E156" s="21"/>
      <c r="F156" s="21"/>
    </row>
    <row r="157" spans="4:15" x14ac:dyDescent="0.2">
      <c r="D157" s="21"/>
      <c r="E157" s="21"/>
      <c r="F157" s="21"/>
    </row>
    <row r="158" spans="4:15" x14ac:dyDescent="0.2">
      <c r="D158" s="21"/>
      <c r="E158" s="21"/>
      <c r="F158" s="21"/>
    </row>
    <row r="159" spans="4:15" x14ac:dyDescent="0.2">
      <c r="D159" s="21"/>
      <c r="E159" s="21"/>
      <c r="F159" s="21"/>
    </row>
    <row r="160" spans="4:15" x14ac:dyDescent="0.2">
      <c r="D160" s="21"/>
      <c r="E160" s="21"/>
      <c r="F160" s="21"/>
    </row>
    <row r="161" spans="4:6" x14ac:dyDescent="0.2">
      <c r="D161" s="21"/>
      <c r="E161" s="21"/>
      <c r="F161" s="21"/>
    </row>
    <row r="162" spans="4:6" x14ac:dyDescent="0.2">
      <c r="D162" s="21"/>
      <c r="E162" s="21"/>
      <c r="F162" s="21"/>
    </row>
    <row r="163" spans="4:6" x14ac:dyDescent="0.2">
      <c r="D163" s="21"/>
      <c r="E163" s="21"/>
      <c r="F163" s="21"/>
    </row>
    <row r="164" spans="4:6" x14ac:dyDescent="0.2">
      <c r="D164" s="21"/>
      <c r="E164" s="21"/>
      <c r="F164" s="21"/>
    </row>
    <row r="165" spans="4:6" x14ac:dyDescent="0.2">
      <c r="D165" s="21"/>
      <c r="E165" s="21"/>
      <c r="F165" s="21"/>
    </row>
    <row r="166" spans="4:6" x14ac:dyDescent="0.2">
      <c r="D166" s="21"/>
      <c r="E166" s="21"/>
      <c r="F166" s="21"/>
    </row>
    <row r="167" spans="4:6" x14ac:dyDescent="0.2">
      <c r="D167" s="21"/>
      <c r="E167" s="21"/>
      <c r="F167" s="21"/>
    </row>
    <row r="168" spans="4:6" x14ac:dyDescent="0.2">
      <c r="D168" s="21"/>
      <c r="E168" s="21"/>
      <c r="F168" s="21"/>
    </row>
    <row r="169" spans="4:6" x14ac:dyDescent="0.2">
      <c r="D169" s="21"/>
      <c r="E169" s="21"/>
      <c r="F169" s="21"/>
    </row>
    <row r="170" spans="4:6" x14ac:dyDescent="0.2">
      <c r="D170" s="21"/>
      <c r="E170" s="21"/>
      <c r="F170" s="21"/>
    </row>
    <row r="171" spans="4:6" x14ac:dyDescent="0.2">
      <c r="D171" s="21"/>
      <c r="E171" s="21"/>
      <c r="F171" s="21"/>
    </row>
    <row r="172" spans="4:6" x14ac:dyDescent="0.2">
      <c r="D172" s="21"/>
      <c r="E172" s="21"/>
      <c r="F172" s="21"/>
    </row>
    <row r="173" spans="4:6" x14ac:dyDescent="0.2">
      <c r="D173" s="21"/>
      <c r="E173" s="21"/>
      <c r="F173" s="21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</sheetData>
  <mergeCells count="2">
    <mergeCell ref="M23:N23"/>
    <mergeCell ref="B22:D22"/>
  </mergeCells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B5EA-B99D-478B-9FA8-BBD2898D8E56}">
  <sheetPr>
    <pageSetUpPr fitToPage="1"/>
  </sheetPr>
  <dimension ref="A1:W644"/>
  <sheetViews>
    <sheetView topLeftCell="A18" zoomScaleNormal="100" workbookViewId="0">
      <selection activeCell="F13" sqref="F13"/>
    </sheetView>
  </sheetViews>
  <sheetFormatPr baseColWidth="10" defaultRowHeight="12.75" x14ac:dyDescent="0.2"/>
  <cols>
    <col min="1" max="1" width="10" customWidth="1"/>
    <col min="2" max="3" width="13.42578125" customWidth="1"/>
    <col min="4" max="4" width="12.7109375" customWidth="1"/>
    <col min="5" max="5" width="14.7109375" customWidth="1"/>
    <col min="6" max="6" width="13.42578125" customWidth="1"/>
    <col min="7" max="7" width="15.7109375" customWidth="1"/>
    <col min="8" max="8" width="12.85546875" customWidth="1"/>
    <col min="9" max="9" width="13.42578125" customWidth="1"/>
    <col min="10" max="10" width="6.28515625" customWidth="1"/>
    <col min="11" max="11" width="1.42578125" style="27" customWidth="1"/>
    <col min="12" max="12" width="5.5703125" customWidth="1"/>
    <col min="13" max="13" width="19" customWidth="1"/>
    <col min="14" max="14" width="12.7109375" customWidth="1"/>
    <col min="15" max="15" width="15" customWidth="1"/>
    <col min="16" max="16" width="14.28515625" customWidth="1"/>
    <col min="17" max="18" width="12.7109375" customWidth="1"/>
    <col min="19" max="19" width="15.140625" customWidth="1"/>
    <col min="20" max="20" width="15.7109375" customWidth="1"/>
    <col min="21" max="21" width="14.140625" customWidth="1"/>
    <col min="22" max="22" width="15.42578125" customWidth="1"/>
    <col min="23" max="256" width="9.140625" customWidth="1"/>
  </cols>
  <sheetData>
    <row r="1" spans="1:21" x14ac:dyDescent="0.2">
      <c r="A1" s="1" t="s">
        <v>74</v>
      </c>
      <c r="D1" s="1" t="s">
        <v>46</v>
      </c>
      <c r="G1" s="13" t="s">
        <v>7</v>
      </c>
      <c r="H1" s="5"/>
      <c r="I1" s="5"/>
      <c r="M1" t="s">
        <v>49</v>
      </c>
    </row>
    <row r="2" spans="1:21" ht="13.5" thickBot="1" x14ac:dyDescent="0.25">
      <c r="A2" s="5" t="s">
        <v>75</v>
      </c>
      <c r="G2" s="13" t="s">
        <v>23</v>
      </c>
      <c r="H2" s="5"/>
      <c r="I2" s="14">
        <f>IF(C15=0,0,SQRT(I6))</f>
        <v>62.334487480007908</v>
      </c>
    </row>
    <row r="3" spans="1:21" x14ac:dyDescent="0.2">
      <c r="A3" s="5" t="s">
        <v>80</v>
      </c>
      <c r="G3" s="13" t="s">
        <v>8</v>
      </c>
      <c r="H3" s="5"/>
      <c r="I3" s="14">
        <f>3*I2</f>
        <v>187.00346244002372</v>
      </c>
      <c r="M3" s="36" t="s">
        <v>50</v>
      </c>
      <c r="N3" s="36"/>
    </row>
    <row r="4" spans="1:21" x14ac:dyDescent="0.2">
      <c r="A4" s="5" t="s">
        <v>6</v>
      </c>
      <c r="G4" s="1"/>
      <c r="H4" s="5"/>
      <c r="I4" s="14"/>
      <c r="M4" t="s">
        <v>51</v>
      </c>
      <c r="N4">
        <v>0.94121184152142634</v>
      </c>
    </row>
    <row r="5" spans="1:21" x14ac:dyDescent="0.2">
      <c r="A5" s="33" t="s">
        <v>90</v>
      </c>
      <c r="G5" s="13" t="s">
        <v>24</v>
      </c>
      <c r="H5" s="5"/>
      <c r="I5" s="14">
        <f>VLOOKUP($C$10,$P$25:$R$120,3)</f>
        <v>15542.35331758105</v>
      </c>
      <c r="M5" t="s">
        <v>52</v>
      </c>
      <c r="N5">
        <v>0.88587973062015457</v>
      </c>
    </row>
    <row r="6" spans="1:21" x14ac:dyDescent="0.2">
      <c r="A6" s="5" t="s">
        <v>35</v>
      </c>
      <c r="G6" s="13" t="s">
        <v>18</v>
      </c>
      <c r="H6" s="5"/>
      <c r="I6" s="19">
        <f>I5/$C$10</f>
        <v>3885.5883293952625</v>
      </c>
      <c r="M6" t="s">
        <v>53</v>
      </c>
      <c r="N6">
        <v>0.6576391918604636</v>
      </c>
    </row>
    <row r="7" spans="1:21" x14ac:dyDescent="0.2">
      <c r="A7" s="5" t="s">
        <v>36</v>
      </c>
      <c r="D7" s="5"/>
      <c r="E7" s="2"/>
      <c r="G7" s="13" t="s">
        <v>25</v>
      </c>
      <c r="H7" s="5"/>
      <c r="I7" s="14">
        <f>VLOOKUP($C$15,$P$25:$R$120,3)</f>
        <v>15542.35331758105</v>
      </c>
      <c r="M7" t="s">
        <v>54</v>
      </c>
      <c r="N7">
        <v>124.66897496001943</v>
      </c>
    </row>
    <row r="8" spans="1:21" ht="13.5" thickBot="1" x14ac:dyDescent="0.25">
      <c r="G8" s="13" t="s">
        <v>26</v>
      </c>
      <c r="H8" s="5"/>
      <c r="I8" s="14">
        <f>I7-I5</f>
        <v>0</v>
      </c>
      <c r="M8" s="34" t="s">
        <v>55</v>
      </c>
      <c r="N8" s="34">
        <v>4</v>
      </c>
    </row>
    <row r="9" spans="1:21" x14ac:dyDescent="0.2">
      <c r="A9" s="13" t="s">
        <v>14</v>
      </c>
      <c r="B9" s="5"/>
      <c r="C9" s="5"/>
      <c r="G9" s="13" t="s">
        <v>27</v>
      </c>
      <c r="H9" s="5"/>
      <c r="I9" s="5">
        <f>$C$15-$C$10</f>
        <v>0</v>
      </c>
    </row>
    <row r="10" spans="1:21" ht="13.5" thickBot="1" x14ac:dyDescent="0.25">
      <c r="A10" s="13" t="s">
        <v>22</v>
      </c>
      <c r="B10" s="5"/>
      <c r="C10" s="6">
        <v>4</v>
      </c>
      <c r="G10" s="13" t="s">
        <v>19</v>
      </c>
      <c r="H10" s="5"/>
      <c r="I10" s="14">
        <f>IF(I9=0,0,+I8/I9)</f>
        <v>0</v>
      </c>
      <c r="M10" t="s">
        <v>56</v>
      </c>
    </row>
    <row r="11" spans="1:21" x14ac:dyDescent="0.2">
      <c r="A11" s="13" t="s">
        <v>15</v>
      </c>
      <c r="B11" s="5"/>
      <c r="C11" s="6">
        <v>2046</v>
      </c>
      <c r="D11" s="17"/>
      <c r="G11" s="1"/>
      <c r="H11" s="5"/>
      <c r="I11" s="14"/>
      <c r="M11" s="35"/>
      <c r="N11" s="35" t="s">
        <v>60</v>
      </c>
      <c r="O11" s="35" t="s">
        <v>61</v>
      </c>
      <c r="P11" s="35" t="s">
        <v>62</v>
      </c>
      <c r="Q11" s="35" t="s">
        <v>1</v>
      </c>
      <c r="R11" s="35" t="s">
        <v>63</v>
      </c>
    </row>
    <row r="12" spans="1:21" x14ac:dyDescent="0.2">
      <c r="D12" s="8"/>
      <c r="G12" s="13" t="s">
        <v>28</v>
      </c>
      <c r="H12" s="5"/>
      <c r="I12" s="14">
        <f>VLOOKUP($C$10,$P$25:$R$120,2)</f>
        <v>15542.35331758105</v>
      </c>
      <c r="M12" t="s">
        <v>57</v>
      </c>
      <c r="N12">
        <v>2</v>
      </c>
      <c r="O12">
        <v>120650.39668241805</v>
      </c>
      <c r="P12">
        <v>60325.198341209027</v>
      </c>
      <c r="Q12">
        <v>3.8813426196512633</v>
      </c>
      <c r="R12">
        <v>0.33781691695331872</v>
      </c>
    </row>
    <row r="13" spans="1:21" x14ac:dyDescent="0.2">
      <c r="G13" s="13" t="s">
        <v>20</v>
      </c>
      <c r="H13" s="5"/>
      <c r="I13" s="19">
        <f>I12/$C$10</f>
        <v>3885.5883293952625</v>
      </c>
      <c r="M13" t="s">
        <v>58</v>
      </c>
      <c r="N13">
        <v>1</v>
      </c>
      <c r="O13">
        <v>15542.35331758195</v>
      </c>
      <c r="P13">
        <v>15542.35331758195</v>
      </c>
    </row>
    <row r="14" spans="1:21" ht="13.5" thickBot="1" x14ac:dyDescent="0.25">
      <c r="A14" s="13" t="s">
        <v>16</v>
      </c>
      <c r="B14" s="5"/>
      <c r="G14" s="13" t="s">
        <v>29</v>
      </c>
      <c r="H14" s="5"/>
      <c r="I14" s="14">
        <f>VLOOKUP($C$15,$P$25:$R$120,2)</f>
        <v>15542.35331758105</v>
      </c>
      <c r="M14" s="34" t="s">
        <v>0</v>
      </c>
      <c r="N14" s="34">
        <v>3</v>
      </c>
      <c r="O14" s="34">
        <v>136192.75</v>
      </c>
      <c r="P14" s="34"/>
      <c r="Q14" s="34"/>
      <c r="R14" s="34"/>
    </row>
    <row r="15" spans="1:21" ht="13.5" thickBot="1" x14ac:dyDescent="0.25">
      <c r="A15" s="13" t="s">
        <v>9</v>
      </c>
      <c r="B15" s="5"/>
      <c r="C15" s="8">
        <f>COUNT(B25:B120)</f>
        <v>4</v>
      </c>
      <c r="G15" s="13" t="s">
        <v>30</v>
      </c>
      <c r="H15" s="5"/>
      <c r="I15" s="14">
        <f>I14-I12</f>
        <v>0</v>
      </c>
    </row>
    <row r="16" spans="1:21" x14ac:dyDescent="0.2">
      <c r="A16" s="13" t="s">
        <v>17</v>
      </c>
      <c r="B16" s="5"/>
      <c r="C16" s="8">
        <f>VLOOKUP(C15,P25:T120,5)</f>
        <v>0</v>
      </c>
      <c r="G16" s="13" t="s">
        <v>27</v>
      </c>
      <c r="H16" s="5"/>
      <c r="I16" s="5">
        <f>$C$15-$C$10</f>
        <v>0</v>
      </c>
      <c r="M16" s="35"/>
      <c r="N16" s="35" t="s">
        <v>64</v>
      </c>
      <c r="O16" s="35" t="s">
        <v>54</v>
      </c>
      <c r="P16" s="35" t="s">
        <v>65</v>
      </c>
      <c r="Q16" s="35" t="s">
        <v>66</v>
      </c>
      <c r="R16" s="35" t="s">
        <v>67</v>
      </c>
      <c r="S16" s="35" t="s">
        <v>68</v>
      </c>
      <c r="T16" s="35" t="s">
        <v>69</v>
      </c>
      <c r="U16" s="35" t="s">
        <v>70</v>
      </c>
    </row>
    <row r="17" spans="1:23" x14ac:dyDescent="0.2">
      <c r="A17" s="13" t="s">
        <v>18</v>
      </c>
      <c r="B17" s="5"/>
      <c r="C17" s="18">
        <f>IF(C10=0,0,+I6)</f>
        <v>3885.5883293952625</v>
      </c>
      <c r="G17" s="13" t="s">
        <v>21</v>
      </c>
      <c r="H17" s="5"/>
      <c r="I17" s="14">
        <f>IF(I16=0,0,+I15/I16)</f>
        <v>0</v>
      </c>
      <c r="M17" t="s">
        <v>59</v>
      </c>
      <c r="N17">
        <v>2006822.1875738951</v>
      </c>
      <c r="O17">
        <v>3533551.1377640651</v>
      </c>
      <c r="P17">
        <v>0.56793353466047691</v>
      </c>
      <c r="Q17">
        <v>0.67118115898310859</v>
      </c>
      <c r="R17">
        <v>-42891202.01459939</v>
      </c>
      <c r="S17">
        <v>46904846.38974718</v>
      </c>
      <c r="T17">
        <v>-42891202.01459939</v>
      </c>
      <c r="U17">
        <v>46904846.38974718</v>
      </c>
    </row>
    <row r="18" spans="1:23" x14ac:dyDescent="0.2">
      <c r="A18" s="13" t="s">
        <v>19</v>
      </c>
      <c r="B18" s="5"/>
      <c r="C18" s="18">
        <f>IF(C15=0,0,+I10)</f>
        <v>0</v>
      </c>
      <c r="G18" s="13" t="s">
        <v>31</v>
      </c>
      <c r="H18" s="5"/>
      <c r="I18" s="5">
        <f>C11</f>
        <v>2046</v>
      </c>
      <c r="M18" t="s">
        <v>71</v>
      </c>
      <c r="N18">
        <v>-2016.8649832644835</v>
      </c>
      <c r="O18">
        <v>3525.197715124074</v>
      </c>
      <c r="P18">
        <v>-0.57212818861522985</v>
      </c>
      <c r="Q18">
        <v>0.6691656644717886</v>
      </c>
      <c r="R18">
        <v>-46808.748887126247</v>
      </c>
      <c r="S18">
        <v>42775.018920597286</v>
      </c>
      <c r="T18">
        <v>-46808.748887126247</v>
      </c>
      <c r="U18">
        <v>42775.018920597286</v>
      </c>
    </row>
    <row r="19" spans="1:23" ht="13.5" thickBot="1" x14ac:dyDescent="0.25">
      <c r="A19" s="13" t="s">
        <v>20</v>
      </c>
      <c r="B19" s="5"/>
      <c r="C19" s="18">
        <f>IF(C10=0,0,+I13)</f>
        <v>3885.5883293952625</v>
      </c>
      <c r="M19" s="34" t="s">
        <v>73</v>
      </c>
      <c r="N19" s="34">
        <v>0.50798631620399237</v>
      </c>
      <c r="O19" s="34">
        <v>0.87920376100323028</v>
      </c>
      <c r="P19" s="34">
        <v>0.57777996266115383</v>
      </c>
      <c r="Q19" s="34">
        <v>0.66646154131992497</v>
      </c>
      <c r="R19" s="34">
        <v>-10.663356675917868</v>
      </c>
      <c r="S19" s="34">
        <v>11.679329308325851</v>
      </c>
      <c r="T19" s="34">
        <v>-10.663356675917868</v>
      </c>
      <c r="U19" s="34">
        <v>11.679329308325851</v>
      </c>
    </row>
    <row r="20" spans="1:23" x14ac:dyDescent="0.2">
      <c r="A20" s="13" t="s">
        <v>21</v>
      </c>
      <c r="B20" s="5"/>
      <c r="C20" s="18">
        <f>IF(C15=0,0,+I17)</f>
        <v>0</v>
      </c>
      <c r="W20" s="10"/>
    </row>
    <row r="21" spans="1:23" x14ac:dyDescent="0.2">
      <c r="F21" s="12"/>
      <c r="J21" s="16"/>
      <c r="K21" s="28"/>
      <c r="L21" s="16"/>
    </row>
    <row r="22" spans="1:23" x14ac:dyDescent="0.2">
      <c r="B22" s="41" t="s">
        <v>48</v>
      </c>
      <c r="C22" s="41"/>
      <c r="D22" s="41"/>
      <c r="J22" s="16"/>
      <c r="K22" s="28"/>
    </row>
    <row r="23" spans="1:23" x14ac:dyDescent="0.2">
      <c r="B23" s="26" t="s">
        <v>43</v>
      </c>
      <c r="C23" s="41" t="s">
        <v>42</v>
      </c>
      <c r="D23" s="41"/>
      <c r="G23" s="17"/>
      <c r="J23" s="5"/>
      <c r="K23" s="29"/>
      <c r="M23" s="40" t="s">
        <v>10</v>
      </c>
      <c r="N23" s="40"/>
      <c r="Q23" s="4" t="s">
        <v>38</v>
      </c>
      <c r="R23" s="4" t="s">
        <v>32</v>
      </c>
      <c r="S23" s="16" t="s">
        <v>10</v>
      </c>
      <c r="T23" s="4" t="s">
        <v>32</v>
      </c>
    </row>
    <row r="24" spans="1:23" x14ac:dyDescent="0.2">
      <c r="A24" s="4" t="s">
        <v>45</v>
      </c>
      <c r="B24" s="4" t="s">
        <v>44</v>
      </c>
      <c r="C24" s="4" t="s">
        <v>5</v>
      </c>
      <c r="D24" s="4" t="s">
        <v>72</v>
      </c>
      <c r="E24" s="32" t="s">
        <v>2</v>
      </c>
      <c r="F24" s="4" t="s">
        <v>3</v>
      </c>
      <c r="G24" s="4" t="s">
        <v>4</v>
      </c>
      <c r="H24" s="4"/>
      <c r="J24" s="5"/>
      <c r="K24" s="29"/>
      <c r="M24" s="4" t="s">
        <v>11</v>
      </c>
      <c r="N24" s="4" t="s">
        <v>12</v>
      </c>
      <c r="P24" s="4" t="s">
        <v>5</v>
      </c>
      <c r="Q24" s="4" t="s">
        <v>33</v>
      </c>
      <c r="R24" s="4" t="s">
        <v>34</v>
      </c>
      <c r="S24" s="16" t="s">
        <v>13</v>
      </c>
      <c r="T24" s="4" t="s">
        <v>37</v>
      </c>
    </row>
    <row r="25" spans="1:23" x14ac:dyDescent="0.2">
      <c r="A25" s="6">
        <v>1993</v>
      </c>
      <c r="B25" s="23">
        <v>4963</v>
      </c>
      <c r="C25" s="9">
        <f>IF(A25="","",A25)</f>
        <v>1993</v>
      </c>
      <c r="D25" s="25">
        <f>IF(C25="","",C25^2)</f>
        <v>3972049</v>
      </c>
      <c r="E25" s="21">
        <f t="shared" ref="E25:E56" si="0">IF(C25="","",$N$17+$N$18*C25+$N$19*D25)</f>
        <v>4956.8152195313014</v>
      </c>
      <c r="F25" s="21">
        <f>IF(A25="","",IF(B25="",NA(),B25-E25))</f>
        <v>6.184780468698591</v>
      </c>
      <c r="G25" s="21">
        <f>IF(A25="","",IF(B25="",NA(),F25^2))</f>
        <v>38.251509445995566</v>
      </c>
      <c r="H25" s="21"/>
      <c r="J25" s="5"/>
      <c r="K25" s="29"/>
      <c r="M25" s="15">
        <f>-$I$3</f>
        <v>-187.00346244002372</v>
      </c>
      <c r="N25" s="15">
        <f>$I$3</f>
        <v>187.00346244002372</v>
      </c>
      <c r="P25" s="9">
        <v>1</v>
      </c>
      <c r="Q25" s="20">
        <f>ABS(G25)</f>
        <v>38.251509445995566</v>
      </c>
      <c r="R25" s="20">
        <f>F25^2</f>
        <v>38.251509445995566</v>
      </c>
      <c r="S25" s="5">
        <f t="shared" ref="S25:S56" si="1">IF(C25&gt;$C$15,0,IF(ABS(G25)&gt;=$I$3,1,0))</f>
        <v>0</v>
      </c>
      <c r="T25">
        <f>SUM($S$26:S26)</f>
        <v>0</v>
      </c>
    </row>
    <row r="26" spans="1:23" x14ac:dyDescent="0.2">
      <c r="A26" s="6">
        <v>2005</v>
      </c>
      <c r="B26" s="23">
        <v>5039</v>
      </c>
      <c r="C26" s="9">
        <f t="shared" ref="C26:C89" si="2">IF(A26="","",A26)</f>
        <v>2005</v>
      </c>
      <c r="D26" s="25">
        <f t="shared" ref="D26:D89" si="3">IF(C26="","",C26^2)</f>
        <v>4020025</v>
      </c>
      <c r="E26" s="21">
        <f t="shared" si="0"/>
        <v>5125.5869265601505</v>
      </c>
      <c r="F26" s="21">
        <f t="shared" ref="F26:F89" si="4">IF(A26="","",IF(B26="",NA(),B26-E26))</f>
        <v>-86.586926560150459</v>
      </c>
      <c r="G26" s="21">
        <f t="shared" ref="G26:G89" si="5">IF(A26="","",IF(B26="",NA(),F26^2))</f>
        <v>7497.2958511328889</v>
      </c>
      <c r="H26" s="21"/>
      <c r="J26" s="5"/>
      <c r="K26" s="29"/>
      <c r="M26" s="15">
        <f t="shared" ref="M26:M89" si="6">-$I$3</f>
        <v>-187.00346244002372</v>
      </c>
      <c r="N26" s="15">
        <f t="shared" ref="N26:N89" si="7">$I$3</f>
        <v>187.00346244002372</v>
      </c>
      <c r="P26" s="9">
        <v>2</v>
      </c>
      <c r="Q26" s="20">
        <f>IF(B26="",0,+Q25+ABS(G26))</f>
        <v>7535.5473605788848</v>
      </c>
      <c r="R26" s="20">
        <f>IF(B26="",0,+R25+F26^2)</f>
        <v>7535.5473605788848</v>
      </c>
      <c r="S26" s="5">
        <f t="shared" si="1"/>
        <v>0</v>
      </c>
      <c r="T26">
        <f>SUM($S$26:S27)</f>
        <v>0</v>
      </c>
    </row>
    <row r="27" spans="1:23" x14ac:dyDescent="0.2">
      <c r="A27" s="6">
        <v>2007</v>
      </c>
      <c r="B27" s="23">
        <v>5257</v>
      </c>
      <c r="C27" s="9">
        <f t="shared" si="2"/>
        <v>2007</v>
      </c>
      <c r="D27" s="25">
        <f t="shared" si="3"/>
        <v>4028049</v>
      </c>
      <c r="E27" s="21">
        <f t="shared" si="0"/>
        <v>5167.9391612519976</v>
      </c>
      <c r="F27" s="21">
        <f t="shared" si="4"/>
        <v>89.060838748002425</v>
      </c>
      <c r="G27" s="21">
        <f t="shared" si="5"/>
        <v>7931.8329984976899</v>
      </c>
      <c r="H27" s="21"/>
      <c r="J27" s="5"/>
      <c r="K27" s="29"/>
      <c r="M27" s="15">
        <f t="shared" si="6"/>
        <v>-187.00346244002372</v>
      </c>
      <c r="N27" s="15">
        <f t="shared" si="7"/>
        <v>187.00346244002372</v>
      </c>
      <c r="P27" s="9">
        <v>3</v>
      </c>
      <c r="Q27" s="20">
        <f t="shared" ref="Q27:Q33" si="8">IF(B27="",0,+Q26+ABS(G27))</f>
        <v>15467.380359076575</v>
      </c>
      <c r="R27" s="20">
        <f t="shared" ref="R27:R33" si="9">IF(B27="",0,+R26+F27^2)</f>
        <v>15467.380359076575</v>
      </c>
      <c r="S27" s="5">
        <f t="shared" si="1"/>
        <v>0</v>
      </c>
      <c r="T27">
        <f>SUM($S$26:S28)</f>
        <v>0</v>
      </c>
    </row>
    <row r="28" spans="1:23" x14ac:dyDescent="0.2">
      <c r="A28" s="6">
        <v>2017</v>
      </c>
      <c r="B28" s="23">
        <v>5432</v>
      </c>
      <c r="C28" s="9">
        <f t="shared" si="2"/>
        <v>2017</v>
      </c>
      <c r="D28" s="25">
        <f t="shared" si="3"/>
        <v>4068289</v>
      </c>
      <c r="E28" s="21">
        <f t="shared" si="0"/>
        <v>5440.6586926556192</v>
      </c>
      <c r="F28" s="21">
        <f t="shared" si="4"/>
        <v>-8.6586926556192338</v>
      </c>
      <c r="G28" s="21">
        <f t="shared" si="5"/>
        <v>74.972958504474462</v>
      </c>
      <c r="H28" s="21"/>
      <c r="J28" s="5"/>
      <c r="K28" s="29"/>
      <c r="M28" s="15">
        <f t="shared" si="6"/>
        <v>-187.00346244002372</v>
      </c>
      <c r="N28" s="15">
        <f t="shared" si="7"/>
        <v>187.00346244002372</v>
      </c>
      <c r="P28" s="9">
        <v>4</v>
      </c>
      <c r="Q28" s="20">
        <f t="shared" si="8"/>
        <v>15542.35331758105</v>
      </c>
      <c r="R28" s="20">
        <f t="shared" si="9"/>
        <v>15542.35331758105</v>
      </c>
      <c r="S28" s="5">
        <f t="shared" si="1"/>
        <v>0</v>
      </c>
      <c r="T28">
        <f>SUM($S$26:S29)</f>
        <v>0</v>
      </c>
    </row>
    <row r="29" spans="1:23" x14ac:dyDescent="0.2">
      <c r="A29" s="38">
        <v>2026</v>
      </c>
      <c r="B29" s="23"/>
      <c r="C29" s="9">
        <f t="shared" si="2"/>
        <v>2026</v>
      </c>
      <c r="D29" s="25">
        <f t="shared" si="3"/>
        <v>4104676</v>
      </c>
      <c r="E29" s="37">
        <f t="shared" si="0"/>
        <v>5772.9719309902284</v>
      </c>
      <c r="F29" s="21" t="e">
        <f t="shared" si="4"/>
        <v>#N/A</v>
      </c>
      <c r="G29" s="21" t="e">
        <f t="shared" si="5"/>
        <v>#N/A</v>
      </c>
      <c r="H29" s="21"/>
      <c r="J29" s="5"/>
      <c r="K29" s="29"/>
      <c r="M29" s="15">
        <f t="shared" si="6"/>
        <v>-187.00346244002372</v>
      </c>
      <c r="N29" s="15">
        <f t="shared" si="7"/>
        <v>187.00346244002372</v>
      </c>
      <c r="P29" s="9">
        <v>5</v>
      </c>
      <c r="Q29" s="20">
        <f t="shared" si="8"/>
        <v>0</v>
      </c>
      <c r="R29" s="20">
        <f t="shared" si="9"/>
        <v>0</v>
      </c>
      <c r="S29" s="5">
        <f t="shared" si="1"/>
        <v>0</v>
      </c>
      <c r="T29">
        <f>SUM($S$26:S30)</f>
        <v>0</v>
      </c>
    </row>
    <row r="30" spans="1:23" x14ac:dyDescent="0.2">
      <c r="A30" s="38">
        <v>2036</v>
      </c>
      <c r="B30" s="23"/>
      <c r="C30" s="9">
        <f t="shared" si="2"/>
        <v>2036</v>
      </c>
      <c r="D30" s="25">
        <f t="shared" si="3"/>
        <v>4145296</v>
      </c>
      <c r="E30" s="37">
        <f t="shared" si="0"/>
        <v>6238.7262625512667</v>
      </c>
      <c r="F30" s="21" t="e">
        <f t="shared" si="4"/>
        <v>#N/A</v>
      </c>
      <c r="G30" s="21" t="e">
        <f t="shared" si="5"/>
        <v>#N/A</v>
      </c>
      <c r="H30" s="21"/>
      <c r="J30" s="5"/>
      <c r="K30" s="29"/>
      <c r="M30" s="15">
        <f t="shared" si="6"/>
        <v>-187.00346244002372</v>
      </c>
      <c r="N30" s="15">
        <f t="shared" si="7"/>
        <v>187.00346244002372</v>
      </c>
      <c r="P30" s="9">
        <v>6</v>
      </c>
      <c r="Q30" s="20">
        <f t="shared" si="8"/>
        <v>0</v>
      </c>
      <c r="R30" s="20">
        <f t="shared" si="9"/>
        <v>0</v>
      </c>
      <c r="S30" s="5">
        <f t="shared" si="1"/>
        <v>0</v>
      </c>
      <c r="T30">
        <f>SUM($S$26:S31)</f>
        <v>0</v>
      </c>
    </row>
    <row r="31" spans="1:23" x14ac:dyDescent="0.2">
      <c r="A31" s="38">
        <v>2046</v>
      </c>
      <c r="B31" s="23"/>
      <c r="C31" s="9">
        <f t="shared" si="2"/>
        <v>2046</v>
      </c>
      <c r="D31" s="25">
        <f t="shared" si="3"/>
        <v>4186116</v>
      </c>
      <c r="E31" s="37">
        <f t="shared" si="0"/>
        <v>6806.0778573537245</v>
      </c>
      <c r="F31" s="21" t="e">
        <f t="shared" si="4"/>
        <v>#N/A</v>
      </c>
      <c r="G31" s="21" t="e">
        <f t="shared" si="5"/>
        <v>#N/A</v>
      </c>
      <c r="H31" s="21"/>
      <c r="J31" s="5"/>
      <c r="K31" s="29"/>
      <c r="M31" s="15">
        <f t="shared" si="6"/>
        <v>-187.00346244002372</v>
      </c>
      <c r="N31" s="15">
        <f t="shared" si="7"/>
        <v>187.00346244002372</v>
      </c>
      <c r="P31" s="9">
        <v>7</v>
      </c>
      <c r="Q31" s="20">
        <f t="shared" si="8"/>
        <v>0</v>
      </c>
      <c r="R31" s="20">
        <f t="shared" si="9"/>
        <v>0</v>
      </c>
      <c r="S31" s="5">
        <f t="shared" si="1"/>
        <v>0</v>
      </c>
      <c r="T31">
        <f>SUM($S$26:S32)</f>
        <v>0</v>
      </c>
    </row>
    <row r="32" spans="1:23" x14ac:dyDescent="0.2">
      <c r="A32" s="6"/>
      <c r="B32" s="23"/>
      <c r="C32" s="9" t="str">
        <f t="shared" si="2"/>
        <v/>
      </c>
      <c r="D32" s="25" t="str">
        <f t="shared" si="3"/>
        <v/>
      </c>
      <c r="E32" s="21" t="str">
        <f t="shared" si="0"/>
        <v/>
      </c>
      <c r="F32" s="21" t="str">
        <f t="shared" si="4"/>
        <v/>
      </c>
      <c r="G32" s="21" t="str">
        <f t="shared" si="5"/>
        <v/>
      </c>
      <c r="H32" s="21"/>
      <c r="J32" s="5"/>
      <c r="K32" s="29"/>
      <c r="M32" s="15">
        <f t="shared" si="6"/>
        <v>-187.00346244002372</v>
      </c>
      <c r="N32" s="15">
        <f t="shared" si="7"/>
        <v>187.00346244002372</v>
      </c>
      <c r="P32" s="9">
        <v>8</v>
      </c>
      <c r="Q32" s="20">
        <f t="shared" si="8"/>
        <v>0</v>
      </c>
      <c r="R32" s="20">
        <f t="shared" si="9"/>
        <v>0</v>
      </c>
      <c r="S32" s="5">
        <f t="shared" si="1"/>
        <v>0</v>
      </c>
      <c r="T32">
        <f>SUM($S$26:S33)</f>
        <v>0</v>
      </c>
    </row>
    <row r="33" spans="1:20" x14ac:dyDescent="0.2">
      <c r="A33" s="6"/>
      <c r="B33" s="23"/>
      <c r="C33" s="9" t="str">
        <f t="shared" si="2"/>
        <v/>
      </c>
      <c r="D33" s="25" t="str">
        <f t="shared" si="3"/>
        <v/>
      </c>
      <c r="E33" s="21" t="str">
        <f t="shared" si="0"/>
        <v/>
      </c>
      <c r="F33" s="21" t="str">
        <f t="shared" si="4"/>
        <v/>
      </c>
      <c r="G33" s="21" t="str">
        <f t="shared" si="5"/>
        <v/>
      </c>
      <c r="H33" s="21"/>
      <c r="J33" s="5"/>
      <c r="K33" s="29"/>
      <c r="M33" s="15">
        <f t="shared" si="6"/>
        <v>-187.00346244002372</v>
      </c>
      <c r="N33" s="15">
        <f t="shared" si="7"/>
        <v>187.00346244002372</v>
      </c>
      <c r="P33" s="9">
        <v>9</v>
      </c>
      <c r="Q33" s="20">
        <f t="shared" si="8"/>
        <v>0</v>
      </c>
      <c r="R33" s="20">
        <f t="shared" si="9"/>
        <v>0</v>
      </c>
      <c r="S33" s="5">
        <f t="shared" si="1"/>
        <v>0</v>
      </c>
      <c r="T33">
        <f>SUM($S$26:S34)</f>
        <v>0</v>
      </c>
    </row>
    <row r="34" spans="1:20" x14ac:dyDescent="0.2">
      <c r="A34" s="6"/>
      <c r="B34" s="23"/>
      <c r="C34" s="9" t="str">
        <f t="shared" si="2"/>
        <v/>
      </c>
      <c r="D34" s="25" t="str">
        <f t="shared" si="3"/>
        <v/>
      </c>
      <c r="E34" s="21" t="str">
        <f t="shared" si="0"/>
        <v/>
      </c>
      <c r="F34" s="21" t="str">
        <f t="shared" si="4"/>
        <v/>
      </c>
      <c r="G34" s="21" t="str">
        <f t="shared" si="5"/>
        <v/>
      </c>
      <c r="H34" s="21"/>
      <c r="J34" s="5"/>
      <c r="K34" s="29"/>
      <c r="M34" s="15">
        <f t="shared" si="6"/>
        <v>-187.00346244002372</v>
      </c>
      <c r="N34" s="15">
        <f t="shared" si="7"/>
        <v>187.00346244002372</v>
      </c>
      <c r="P34" s="9">
        <v>10</v>
      </c>
      <c r="Q34" s="20">
        <f t="shared" ref="Q34:Q65" si="10">IF(C34&gt;$C$15,0,+Q33+ABS(G34))</f>
        <v>0</v>
      </c>
      <c r="R34" s="20">
        <f t="shared" ref="R34:R65" si="11">IF(C34&gt;$C$15,0,+R33+G34^2)</f>
        <v>0</v>
      </c>
      <c r="S34" s="5">
        <f t="shared" si="1"/>
        <v>0</v>
      </c>
      <c r="T34">
        <f>SUM($S$26:S35)</f>
        <v>0</v>
      </c>
    </row>
    <row r="35" spans="1:20" x14ac:dyDescent="0.2">
      <c r="A35" s="6"/>
      <c r="B35" s="23"/>
      <c r="C35" s="9" t="str">
        <f t="shared" si="2"/>
        <v/>
      </c>
      <c r="D35" s="25" t="str">
        <f t="shared" si="3"/>
        <v/>
      </c>
      <c r="E35" s="21" t="str">
        <f t="shared" si="0"/>
        <v/>
      </c>
      <c r="F35" s="21" t="str">
        <f t="shared" si="4"/>
        <v/>
      </c>
      <c r="G35" s="21" t="str">
        <f t="shared" si="5"/>
        <v/>
      </c>
      <c r="H35" s="21"/>
      <c r="J35" s="5"/>
      <c r="K35" s="29"/>
      <c r="M35" s="15">
        <f t="shared" si="6"/>
        <v>-187.00346244002372</v>
      </c>
      <c r="N35" s="15">
        <f t="shared" si="7"/>
        <v>187.00346244002372</v>
      </c>
      <c r="P35" s="9">
        <v>11</v>
      </c>
      <c r="Q35" s="20">
        <f t="shared" si="10"/>
        <v>0</v>
      </c>
      <c r="R35" s="20">
        <f t="shared" si="11"/>
        <v>0</v>
      </c>
      <c r="S35" s="5">
        <f t="shared" si="1"/>
        <v>0</v>
      </c>
      <c r="T35">
        <f>SUM($S$26:S36)</f>
        <v>0</v>
      </c>
    </row>
    <row r="36" spans="1:20" x14ac:dyDescent="0.2">
      <c r="A36" s="6"/>
      <c r="B36" s="23"/>
      <c r="C36" s="9" t="str">
        <f t="shared" si="2"/>
        <v/>
      </c>
      <c r="D36" s="25" t="str">
        <f t="shared" si="3"/>
        <v/>
      </c>
      <c r="E36" s="21" t="str">
        <f t="shared" si="0"/>
        <v/>
      </c>
      <c r="F36" s="21" t="str">
        <f t="shared" si="4"/>
        <v/>
      </c>
      <c r="G36" s="21" t="str">
        <f t="shared" si="5"/>
        <v/>
      </c>
      <c r="H36" s="21"/>
      <c r="J36" s="5"/>
      <c r="K36" s="29"/>
      <c r="M36" s="15">
        <f t="shared" si="6"/>
        <v>-187.00346244002372</v>
      </c>
      <c r="N36" s="15">
        <f t="shared" si="7"/>
        <v>187.00346244002372</v>
      </c>
      <c r="P36" s="9">
        <v>12</v>
      </c>
      <c r="Q36" s="20">
        <f t="shared" si="10"/>
        <v>0</v>
      </c>
      <c r="R36" s="20">
        <f t="shared" si="11"/>
        <v>0</v>
      </c>
      <c r="S36" s="5">
        <f t="shared" si="1"/>
        <v>0</v>
      </c>
      <c r="T36">
        <f>SUM($S$26:S37)</f>
        <v>0</v>
      </c>
    </row>
    <row r="37" spans="1:20" x14ac:dyDescent="0.2">
      <c r="A37" s="6"/>
      <c r="B37" s="23"/>
      <c r="C37" s="9" t="str">
        <f t="shared" si="2"/>
        <v/>
      </c>
      <c r="D37" s="25" t="str">
        <f t="shared" si="3"/>
        <v/>
      </c>
      <c r="E37" s="21" t="str">
        <f t="shared" si="0"/>
        <v/>
      </c>
      <c r="F37" s="21" t="str">
        <f t="shared" si="4"/>
        <v/>
      </c>
      <c r="G37" s="21" t="str">
        <f t="shared" si="5"/>
        <v/>
      </c>
      <c r="H37" s="21"/>
      <c r="J37" s="5"/>
      <c r="K37" s="29"/>
      <c r="M37" s="15">
        <f t="shared" si="6"/>
        <v>-187.00346244002372</v>
      </c>
      <c r="N37" s="15">
        <f t="shared" si="7"/>
        <v>187.00346244002372</v>
      </c>
      <c r="P37" s="9">
        <v>13</v>
      </c>
      <c r="Q37" s="20">
        <f t="shared" si="10"/>
        <v>0</v>
      </c>
      <c r="R37" s="20">
        <f t="shared" si="11"/>
        <v>0</v>
      </c>
      <c r="S37" s="5">
        <f t="shared" si="1"/>
        <v>0</v>
      </c>
      <c r="T37">
        <f>SUM($S$26:S38)</f>
        <v>0</v>
      </c>
    </row>
    <row r="38" spans="1:20" x14ac:dyDescent="0.2">
      <c r="A38" s="6"/>
      <c r="B38" s="23"/>
      <c r="C38" s="9" t="str">
        <f t="shared" si="2"/>
        <v/>
      </c>
      <c r="D38" s="25" t="str">
        <f t="shared" si="3"/>
        <v/>
      </c>
      <c r="E38" s="21" t="str">
        <f t="shared" si="0"/>
        <v/>
      </c>
      <c r="F38" s="21" t="str">
        <f t="shared" si="4"/>
        <v/>
      </c>
      <c r="G38" s="21" t="str">
        <f t="shared" si="5"/>
        <v/>
      </c>
      <c r="H38" s="21"/>
      <c r="J38" s="5"/>
      <c r="K38" s="29"/>
      <c r="M38" s="15">
        <f t="shared" si="6"/>
        <v>-187.00346244002372</v>
      </c>
      <c r="N38" s="15">
        <f t="shared" si="7"/>
        <v>187.00346244002372</v>
      </c>
      <c r="P38" s="9">
        <v>14</v>
      </c>
      <c r="Q38" s="20">
        <f t="shared" si="10"/>
        <v>0</v>
      </c>
      <c r="R38" s="20">
        <f t="shared" si="11"/>
        <v>0</v>
      </c>
      <c r="S38" s="5">
        <f t="shared" si="1"/>
        <v>0</v>
      </c>
      <c r="T38">
        <f>SUM($S$26:S39)</f>
        <v>0</v>
      </c>
    </row>
    <row r="39" spans="1:20" x14ac:dyDescent="0.2">
      <c r="A39" s="6"/>
      <c r="B39" s="23"/>
      <c r="C39" s="9" t="str">
        <f t="shared" si="2"/>
        <v/>
      </c>
      <c r="D39" s="25" t="str">
        <f t="shared" si="3"/>
        <v/>
      </c>
      <c r="E39" s="21" t="str">
        <f t="shared" si="0"/>
        <v/>
      </c>
      <c r="F39" s="21" t="str">
        <f t="shared" si="4"/>
        <v/>
      </c>
      <c r="G39" s="21" t="str">
        <f t="shared" si="5"/>
        <v/>
      </c>
      <c r="H39" s="21"/>
      <c r="J39" s="5"/>
      <c r="K39" s="29"/>
      <c r="M39" s="15">
        <f t="shared" si="6"/>
        <v>-187.00346244002372</v>
      </c>
      <c r="N39" s="15">
        <f t="shared" si="7"/>
        <v>187.00346244002372</v>
      </c>
      <c r="P39" s="9">
        <v>15</v>
      </c>
      <c r="Q39" s="20">
        <f t="shared" si="10"/>
        <v>0</v>
      </c>
      <c r="R39" s="20">
        <f t="shared" si="11"/>
        <v>0</v>
      </c>
      <c r="S39" s="5">
        <f t="shared" si="1"/>
        <v>0</v>
      </c>
      <c r="T39">
        <f>SUM($S$26:S40)</f>
        <v>0</v>
      </c>
    </row>
    <row r="40" spans="1:20" x14ac:dyDescent="0.2">
      <c r="A40" s="6"/>
      <c r="B40" s="23"/>
      <c r="C40" s="9" t="str">
        <f t="shared" si="2"/>
        <v/>
      </c>
      <c r="D40" s="25" t="str">
        <f t="shared" si="3"/>
        <v/>
      </c>
      <c r="E40" s="21" t="str">
        <f t="shared" si="0"/>
        <v/>
      </c>
      <c r="F40" s="21" t="str">
        <f t="shared" si="4"/>
        <v/>
      </c>
      <c r="G40" s="21" t="str">
        <f t="shared" si="5"/>
        <v/>
      </c>
      <c r="H40" s="21"/>
      <c r="J40" s="5"/>
      <c r="K40" s="29"/>
      <c r="M40" s="15">
        <f t="shared" si="6"/>
        <v>-187.00346244002372</v>
      </c>
      <c r="N40" s="15">
        <f t="shared" si="7"/>
        <v>187.00346244002372</v>
      </c>
      <c r="P40" s="9">
        <v>16</v>
      </c>
      <c r="Q40" s="20">
        <f t="shared" si="10"/>
        <v>0</v>
      </c>
      <c r="R40" s="20">
        <f t="shared" si="11"/>
        <v>0</v>
      </c>
      <c r="S40" s="5">
        <f t="shared" si="1"/>
        <v>0</v>
      </c>
      <c r="T40">
        <f>SUM($S$26:S41)</f>
        <v>0</v>
      </c>
    </row>
    <row r="41" spans="1:20" x14ac:dyDescent="0.2">
      <c r="A41" s="6"/>
      <c r="B41" s="22"/>
      <c r="C41" s="9" t="str">
        <f t="shared" si="2"/>
        <v/>
      </c>
      <c r="D41" s="25" t="str">
        <f t="shared" si="3"/>
        <v/>
      </c>
      <c r="E41" s="21" t="str">
        <f t="shared" si="0"/>
        <v/>
      </c>
      <c r="F41" s="21" t="str">
        <f t="shared" si="4"/>
        <v/>
      </c>
      <c r="G41" s="21" t="str">
        <f t="shared" si="5"/>
        <v/>
      </c>
      <c r="H41" s="21"/>
      <c r="J41" s="5"/>
      <c r="K41" s="29"/>
      <c r="M41" s="15">
        <f t="shared" si="6"/>
        <v>-187.00346244002372</v>
      </c>
      <c r="N41" s="15">
        <f t="shared" si="7"/>
        <v>187.00346244002372</v>
      </c>
      <c r="P41" s="9">
        <v>17</v>
      </c>
      <c r="Q41" s="20">
        <f t="shared" si="10"/>
        <v>0</v>
      </c>
      <c r="R41" s="20">
        <f t="shared" si="11"/>
        <v>0</v>
      </c>
      <c r="S41" s="5">
        <f t="shared" si="1"/>
        <v>0</v>
      </c>
      <c r="T41">
        <f>SUM($S$26:S42)</f>
        <v>0</v>
      </c>
    </row>
    <row r="42" spans="1:20" x14ac:dyDescent="0.2">
      <c r="A42" s="6"/>
      <c r="B42" s="22"/>
      <c r="C42" s="9" t="str">
        <f t="shared" si="2"/>
        <v/>
      </c>
      <c r="D42" s="25" t="str">
        <f t="shared" si="3"/>
        <v/>
      </c>
      <c r="E42" s="21" t="str">
        <f t="shared" si="0"/>
        <v/>
      </c>
      <c r="F42" s="21" t="str">
        <f t="shared" si="4"/>
        <v/>
      </c>
      <c r="G42" s="21" t="str">
        <f t="shared" si="5"/>
        <v/>
      </c>
      <c r="H42" s="21"/>
      <c r="J42" s="5"/>
      <c r="K42" s="29"/>
      <c r="M42" s="15">
        <f t="shared" si="6"/>
        <v>-187.00346244002372</v>
      </c>
      <c r="N42" s="15">
        <f t="shared" si="7"/>
        <v>187.00346244002372</v>
      </c>
      <c r="P42" s="9">
        <v>18</v>
      </c>
      <c r="Q42" s="20">
        <f t="shared" si="10"/>
        <v>0</v>
      </c>
      <c r="R42" s="20">
        <f t="shared" si="11"/>
        <v>0</v>
      </c>
      <c r="S42" s="5">
        <f t="shared" si="1"/>
        <v>0</v>
      </c>
      <c r="T42">
        <f>SUM($S$26:S43)</f>
        <v>0</v>
      </c>
    </row>
    <row r="43" spans="1:20" x14ac:dyDescent="0.2">
      <c r="A43" s="6"/>
      <c r="B43" s="22"/>
      <c r="C43" s="9" t="str">
        <f t="shared" si="2"/>
        <v/>
      </c>
      <c r="D43" s="25" t="str">
        <f t="shared" si="3"/>
        <v/>
      </c>
      <c r="E43" s="21" t="str">
        <f t="shared" si="0"/>
        <v/>
      </c>
      <c r="F43" s="21" t="str">
        <f t="shared" si="4"/>
        <v/>
      </c>
      <c r="G43" s="21" t="str">
        <f t="shared" si="5"/>
        <v/>
      </c>
      <c r="H43" s="21"/>
      <c r="J43" s="5"/>
      <c r="K43" s="29"/>
      <c r="M43" s="15">
        <f t="shared" si="6"/>
        <v>-187.00346244002372</v>
      </c>
      <c r="N43" s="15">
        <f t="shared" si="7"/>
        <v>187.00346244002372</v>
      </c>
      <c r="P43" s="9">
        <v>19</v>
      </c>
      <c r="Q43" s="20">
        <f t="shared" si="10"/>
        <v>0</v>
      </c>
      <c r="R43" s="20">
        <f t="shared" si="11"/>
        <v>0</v>
      </c>
      <c r="S43" s="5">
        <f t="shared" si="1"/>
        <v>0</v>
      </c>
      <c r="T43">
        <f>SUM($S$26:S44)</f>
        <v>0</v>
      </c>
    </row>
    <row r="44" spans="1:20" x14ac:dyDescent="0.2">
      <c r="A44" s="6"/>
      <c r="B44" s="22"/>
      <c r="C44" s="9" t="str">
        <f t="shared" si="2"/>
        <v/>
      </c>
      <c r="D44" s="25" t="str">
        <f t="shared" si="3"/>
        <v/>
      </c>
      <c r="E44" s="21" t="str">
        <f t="shared" si="0"/>
        <v/>
      </c>
      <c r="F44" s="21" t="str">
        <f t="shared" si="4"/>
        <v/>
      </c>
      <c r="G44" s="21" t="str">
        <f t="shared" si="5"/>
        <v/>
      </c>
      <c r="H44" s="21"/>
      <c r="J44" s="5"/>
      <c r="K44" s="29"/>
      <c r="M44" s="15">
        <f t="shared" si="6"/>
        <v>-187.00346244002372</v>
      </c>
      <c r="N44" s="15">
        <f t="shared" si="7"/>
        <v>187.00346244002372</v>
      </c>
      <c r="P44" s="9">
        <v>20</v>
      </c>
      <c r="Q44" s="20">
        <f t="shared" si="10"/>
        <v>0</v>
      </c>
      <c r="R44" s="20">
        <f t="shared" si="11"/>
        <v>0</v>
      </c>
      <c r="S44" s="5">
        <f t="shared" si="1"/>
        <v>0</v>
      </c>
      <c r="T44">
        <f>SUM($S$26:S45)</f>
        <v>0</v>
      </c>
    </row>
    <row r="45" spans="1:20" x14ac:dyDescent="0.2">
      <c r="A45" s="6"/>
      <c r="B45" s="22"/>
      <c r="C45" s="9" t="str">
        <f t="shared" si="2"/>
        <v/>
      </c>
      <c r="D45" s="25" t="str">
        <f t="shared" si="3"/>
        <v/>
      </c>
      <c r="E45" s="21" t="str">
        <f t="shared" si="0"/>
        <v/>
      </c>
      <c r="F45" s="21" t="str">
        <f t="shared" si="4"/>
        <v/>
      </c>
      <c r="G45" s="21" t="str">
        <f t="shared" si="5"/>
        <v/>
      </c>
      <c r="H45" s="21"/>
      <c r="J45" s="5"/>
      <c r="K45" s="29"/>
      <c r="M45" s="15">
        <f t="shared" si="6"/>
        <v>-187.00346244002372</v>
      </c>
      <c r="N45" s="15">
        <f t="shared" si="7"/>
        <v>187.00346244002372</v>
      </c>
      <c r="P45" s="9">
        <v>21</v>
      </c>
      <c r="Q45" s="20">
        <f t="shared" si="10"/>
        <v>0</v>
      </c>
      <c r="R45" s="20">
        <f t="shared" si="11"/>
        <v>0</v>
      </c>
      <c r="S45" s="5">
        <f t="shared" si="1"/>
        <v>0</v>
      </c>
      <c r="T45">
        <f>SUM($S$26:S46)</f>
        <v>0</v>
      </c>
    </row>
    <row r="46" spans="1:20" x14ac:dyDescent="0.2">
      <c r="A46" s="6"/>
      <c r="B46" s="7"/>
      <c r="C46" s="9" t="str">
        <f t="shared" si="2"/>
        <v/>
      </c>
      <c r="D46" s="25" t="str">
        <f t="shared" si="3"/>
        <v/>
      </c>
      <c r="E46" s="21" t="str">
        <f t="shared" si="0"/>
        <v/>
      </c>
      <c r="F46" s="21" t="str">
        <f t="shared" si="4"/>
        <v/>
      </c>
      <c r="G46" s="21" t="str">
        <f t="shared" si="5"/>
        <v/>
      </c>
      <c r="H46" s="21"/>
      <c r="J46" s="5"/>
      <c r="K46" s="29"/>
      <c r="M46" s="15">
        <f t="shared" si="6"/>
        <v>-187.00346244002372</v>
      </c>
      <c r="N46" s="15">
        <f t="shared" si="7"/>
        <v>187.00346244002372</v>
      </c>
      <c r="P46" s="9">
        <v>22</v>
      </c>
      <c r="Q46" s="20">
        <f t="shared" si="10"/>
        <v>0</v>
      </c>
      <c r="R46" s="20">
        <f t="shared" si="11"/>
        <v>0</v>
      </c>
      <c r="S46" s="5">
        <f t="shared" si="1"/>
        <v>0</v>
      </c>
      <c r="T46">
        <f>SUM($S$26:S47)</f>
        <v>0</v>
      </c>
    </row>
    <row r="47" spans="1:20" x14ac:dyDescent="0.2">
      <c r="A47" s="6"/>
      <c r="B47" s="7"/>
      <c r="C47" s="9" t="str">
        <f t="shared" si="2"/>
        <v/>
      </c>
      <c r="D47" s="25" t="str">
        <f t="shared" si="3"/>
        <v/>
      </c>
      <c r="E47" s="21" t="str">
        <f t="shared" si="0"/>
        <v/>
      </c>
      <c r="F47" s="21" t="str">
        <f t="shared" si="4"/>
        <v/>
      </c>
      <c r="G47" s="21" t="str">
        <f t="shared" si="5"/>
        <v/>
      </c>
      <c r="H47" s="21"/>
      <c r="J47" s="5"/>
      <c r="K47" s="29"/>
      <c r="M47" s="15">
        <f t="shared" si="6"/>
        <v>-187.00346244002372</v>
      </c>
      <c r="N47" s="15">
        <f t="shared" si="7"/>
        <v>187.00346244002372</v>
      </c>
      <c r="P47" s="9">
        <v>23</v>
      </c>
      <c r="Q47" s="20">
        <f t="shared" si="10"/>
        <v>0</v>
      </c>
      <c r="R47" s="20">
        <f t="shared" si="11"/>
        <v>0</v>
      </c>
      <c r="S47" s="5">
        <f t="shared" si="1"/>
        <v>0</v>
      </c>
      <c r="T47">
        <f>SUM($S$26:S48)</f>
        <v>0</v>
      </c>
    </row>
    <row r="48" spans="1:20" x14ac:dyDescent="0.2">
      <c r="A48" s="6"/>
      <c r="B48" s="7"/>
      <c r="C48" s="9" t="str">
        <f t="shared" si="2"/>
        <v/>
      </c>
      <c r="D48" s="25" t="str">
        <f t="shared" si="3"/>
        <v/>
      </c>
      <c r="E48" s="21" t="str">
        <f t="shared" si="0"/>
        <v/>
      </c>
      <c r="F48" s="21" t="str">
        <f t="shared" si="4"/>
        <v/>
      </c>
      <c r="G48" s="21" t="str">
        <f t="shared" si="5"/>
        <v/>
      </c>
      <c r="H48" s="21"/>
      <c r="J48" s="5"/>
      <c r="K48" s="29"/>
      <c r="M48" s="15">
        <f t="shared" si="6"/>
        <v>-187.00346244002372</v>
      </c>
      <c r="N48" s="15">
        <f t="shared" si="7"/>
        <v>187.00346244002372</v>
      </c>
      <c r="P48" s="9">
        <v>24</v>
      </c>
      <c r="Q48" s="20">
        <f t="shared" si="10"/>
        <v>0</v>
      </c>
      <c r="R48" s="20">
        <f t="shared" si="11"/>
        <v>0</v>
      </c>
      <c r="S48" s="5">
        <f t="shared" si="1"/>
        <v>0</v>
      </c>
      <c r="T48">
        <f>SUM($S$26:S49)</f>
        <v>0</v>
      </c>
    </row>
    <row r="49" spans="1:20" x14ac:dyDescent="0.2">
      <c r="A49" s="6"/>
      <c r="B49" s="7"/>
      <c r="C49" s="9" t="str">
        <f t="shared" si="2"/>
        <v/>
      </c>
      <c r="D49" s="25" t="str">
        <f t="shared" si="3"/>
        <v/>
      </c>
      <c r="E49" s="21" t="str">
        <f t="shared" si="0"/>
        <v/>
      </c>
      <c r="F49" s="21" t="str">
        <f t="shared" si="4"/>
        <v/>
      </c>
      <c r="G49" s="21" t="str">
        <f t="shared" si="5"/>
        <v/>
      </c>
      <c r="H49" s="21"/>
      <c r="J49" s="5"/>
      <c r="K49" s="29"/>
      <c r="M49" s="15">
        <f t="shared" si="6"/>
        <v>-187.00346244002372</v>
      </c>
      <c r="N49" s="15">
        <f t="shared" si="7"/>
        <v>187.00346244002372</v>
      </c>
      <c r="P49" s="9">
        <v>25</v>
      </c>
      <c r="Q49" s="20">
        <f t="shared" si="10"/>
        <v>0</v>
      </c>
      <c r="R49" s="20">
        <f t="shared" si="11"/>
        <v>0</v>
      </c>
      <c r="S49" s="5">
        <f t="shared" si="1"/>
        <v>0</v>
      </c>
      <c r="T49">
        <f>SUM($S$26:S50)</f>
        <v>0</v>
      </c>
    </row>
    <row r="50" spans="1:20" x14ac:dyDescent="0.2">
      <c r="A50" s="6"/>
      <c r="B50" s="7"/>
      <c r="C50" s="9" t="str">
        <f t="shared" si="2"/>
        <v/>
      </c>
      <c r="D50" s="25" t="str">
        <f t="shared" si="3"/>
        <v/>
      </c>
      <c r="E50" s="21" t="str">
        <f t="shared" si="0"/>
        <v/>
      </c>
      <c r="F50" s="21" t="str">
        <f t="shared" si="4"/>
        <v/>
      </c>
      <c r="G50" s="21" t="str">
        <f t="shared" si="5"/>
        <v/>
      </c>
      <c r="H50" s="21"/>
      <c r="J50" s="5"/>
      <c r="K50" s="29"/>
      <c r="M50" s="15">
        <f t="shared" si="6"/>
        <v>-187.00346244002372</v>
      </c>
      <c r="N50" s="15">
        <f t="shared" si="7"/>
        <v>187.00346244002372</v>
      </c>
      <c r="P50" s="9">
        <v>26</v>
      </c>
      <c r="Q50" s="20">
        <f t="shared" si="10"/>
        <v>0</v>
      </c>
      <c r="R50" s="20">
        <f t="shared" si="11"/>
        <v>0</v>
      </c>
      <c r="S50" s="5">
        <f t="shared" si="1"/>
        <v>0</v>
      </c>
      <c r="T50">
        <f>SUM($S$26:S51)</f>
        <v>0</v>
      </c>
    </row>
    <row r="51" spans="1:20" x14ac:dyDescent="0.2">
      <c r="A51" s="6"/>
      <c r="B51" s="7"/>
      <c r="C51" s="9" t="str">
        <f t="shared" si="2"/>
        <v/>
      </c>
      <c r="D51" s="25" t="str">
        <f t="shared" si="3"/>
        <v/>
      </c>
      <c r="E51" s="21" t="str">
        <f t="shared" si="0"/>
        <v/>
      </c>
      <c r="F51" s="21" t="str">
        <f t="shared" si="4"/>
        <v/>
      </c>
      <c r="G51" s="21" t="str">
        <f t="shared" si="5"/>
        <v/>
      </c>
      <c r="H51" s="21"/>
      <c r="J51" s="5"/>
      <c r="K51" s="29"/>
      <c r="M51" s="15">
        <f t="shared" si="6"/>
        <v>-187.00346244002372</v>
      </c>
      <c r="N51" s="15">
        <f t="shared" si="7"/>
        <v>187.00346244002372</v>
      </c>
      <c r="P51" s="9">
        <v>27</v>
      </c>
      <c r="Q51" s="20">
        <f t="shared" si="10"/>
        <v>0</v>
      </c>
      <c r="R51" s="20">
        <f t="shared" si="11"/>
        <v>0</v>
      </c>
      <c r="S51" s="5">
        <f t="shared" si="1"/>
        <v>0</v>
      </c>
      <c r="T51">
        <f>SUM($S$26:S52)</f>
        <v>0</v>
      </c>
    </row>
    <row r="52" spans="1:20" x14ac:dyDescent="0.2">
      <c r="A52" s="6"/>
      <c r="B52" s="7"/>
      <c r="C52" s="9" t="str">
        <f t="shared" si="2"/>
        <v/>
      </c>
      <c r="D52" s="25" t="str">
        <f t="shared" si="3"/>
        <v/>
      </c>
      <c r="E52" s="21" t="str">
        <f t="shared" si="0"/>
        <v/>
      </c>
      <c r="F52" s="21" t="str">
        <f t="shared" si="4"/>
        <v/>
      </c>
      <c r="G52" s="21" t="str">
        <f t="shared" si="5"/>
        <v/>
      </c>
      <c r="H52" s="21"/>
      <c r="J52" s="5"/>
      <c r="K52" s="29"/>
      <c r="M52" s="15">
        <f t="shared" si="6"/>
        <v>-187.00346244002372</v>
      </c>
      <c r="N52" s="15">
        <f t="shared" si="7"/>
        <v>187.00346244002372</v>
      </c>
      <c r="P52" s="9">
        <v>28</v>
      </c>
      <c r="Q52" s="20">
        <f t="shared" si="10"/>
        <v>0</v>
      </c>
      <c r="R52" s="20">
        <f t="shared" si="11"/>
        <v>0</v>
      </c>
      <c r="S52" s="5">
        <f t="shared" si="1"/>
        <v>0</v>
      </c>
      <c r="T52">
        <f>SUM($S$26:S53)</f>
        <v>0</v>
      </c>
    </row>
    <row r="53" spans="1:20" x14ac:dyDescent="0.2">
      <c r="A53" s="6"/>
      <c r="B53" s="7"/>
      <c r="C53" s="9" t="str">
        <f t="shared" si="2"/>
        <v/>
      </c>
      <c r="D53" s="25" t="str">
        <f t="shared" si="3"/>
        <v/>
      </c>
      <c r="E53" s="21" t="str">
        <f t="shared" si="0"/>
        <v/>
      </c>
      <c r="F53" s="21" t="str">
        <f t="shared" si="4"/>
        <v/>
      </c>
      <c r="G53" s="21" t="str">
        <f t="shared" si="5"/>
        <v/>
      </c>
      <c r="H53" s="21"/>
      <c r="J53" s="5"/>
      <c r="K53" s="29"/>
      <c r="M53" s="15">
        <f t="shared" si="6"/>
        <v>-187.00346244002372</v>
      </c>
      <c r="N53" s="15">
        <f t="shared" si="7"/>
        <v>187.00346244002372</v>
      </c>
      <c r="P53" s="9">
        <v>29</v>
      </c>
      <c r="Q53" s="20">
        <f t="shared" si="10"/>
        <v>0</v>
      </c>
      <c r="R53" s="20">
        <f t="shared" si="11"/>
        <v>0</v>
      </c>
      <c r="S53" s="5">
        <f t="shared" si="1"/>
        <v>0</v>
      </c>
      <c r="T53">
        <f>SUM($S$26:S54)</f>
        <v>0</v>
      </c>
    </row>
    <row r="54" spans="1:20" x14ac:dyDescent="0.2">
      <c r="A54" s="6"/>
      <c r="B54" s="7"/>
      <c r="C54" s="9" t="str">
        <f t="shared" si="2"/>
        <v/>
      </c>
      <c r="D54" s="25" t="str">
        <f t="shared" si="3"/>
        <v/>
      </c>
      <c r="E54" s="21" t="str">
        <f t="shared" si="0"/>
        <v/>
      </c>
      <c r="F54" s="21" t="str">
        <f t="shared" si="4"/>
        <v/>
      </c>
      <c r="G54" s="21" t="str">
        <f t="shared" si="5"/>
        <v/>
      </c>
      <c r="H54" s="21"/>
      <c r="J54" s="5"/>
      <c r="K54" s="29"/>
      <c r="M54" s="15">
        <f t="shared" si="6"/>
        <v>-187.00346244002372</v>
      </c>
      <c r="N54" s="15">
        <f t="shared" si="7"/>
        <v>187.00346244002372</v>
      </c>
      <c r="P54" s="9">
        <v>30</v>
      </c>
      <c r="Q54" s="20">
        <f t="shared" si="10"/>
        <v>0</v>
      </c>
      <c r="R54" s="20">
        <f t="shared" si="11"/>
        <v>0</v>
      </c>
      <c r="S54" s="5">
        <f t="shared" si="1"/>
        <v>0</v>
      </c>
      <c r="T54">
        <f>SUM($S$26:S55)</f>
        <v>0</v>
      </c>
    </row>
    <row r="55" spans="1:20" x14ac:dyDescent="0.2">
      <c r="A55" s="6"/>
      <c r="B55" s="7"/>
      <c r="C55" s="9" t="str">
        <f t="shared" si="2"/>
        <v/>
      </c>
      <c r="D55" s="25" t="str">
        <f t="shared" si="3"/>
        <v/>
      </c>
      <c r="E55" s="21" t="str">
        <f t="shared" si="0"/>
        <v/>
      </c>
      <c r="F55" s="21" t="str">
        <f t="shared" si="4"/>
        <v/>
      </c>
      <c r="G55" s="21" t="str">
        <f t="shared" si="5"/>
        <v/>
      </c>
      <c r="H55" s="21"/>
      <c r="J55" s="5"/>
      <c r="K55" s="29"/>
      <c r="M55" s="15">
        <f t="shared" si="6"/>
        <v>-187.00346244002372</v>
      </c>
      <c r="N55" s="15">
        <f t="shared" si="7"/>
        <v>187.00346244002372</v>
      </c>
      <c r="P55" s="9">
        <v>31</v>
      </c>
      <c r="Q55" s="20">
        <f t="shared" si="10"/>
        <v>0</v>
      </c>
      <c r="R55" s="20">
        <f t="shared" si="11"/>
        <v>0</v>
      </c>
      <c r="S55" s="5">
        <f t="shared" si="1"/>
        <v>0</v>
      </c>
      <c r="T55">
        <f>SUM($S$26:S56)</f>
        <v>0</v>
      </c>
    </row>
    <row r="56" spans="1:20" x14ac:dyDescent="0.2">
      <c r="A56" s="6"/>
      <c r="B56" s="7"/>
      <c r="C56" s="9" t="str">
        <f t="shared" si="2"/>
        <v/>
      </c>
      <c r="D56" s="25" t="str">
        <f t="shared" si="3"/>
        <v/>
      </c>
      <c r="E56" s="21" t="str">
        <f t="shared" si="0"/>
        <v/>
      </c>
      <c r="F56" s="21" t="str">
        <f t="shared" si="4"/>
        <v/>
      </c>
      <c r="G56" s="21" t="str">
        <f t="shared" si="5"/>
        <v/>
      </c>
      <c r="H56" s="21"/>
      <c r="J56" s="5"/>
      <c r="K56" s="29"/>
      <c r="M56" s="15">
        <f t="shared" si="6"/>
        <v>-187.00346244002372</v>
      </c>
      <c r="N56" s="15">
        <f t="shared" si="7"/>
        <v>187.00346244002372</v>
      </c>
      <c r="P56" s="9">
        <v>32</v>
      </c>
      <c r="Q56" s="20">
        <f t="shared" si="10"/>
        <v>0</v>
      </c>
      <c r="R56" s="20">
        <f t="shared" si="11"/>
        <v>0</v>
      </c>
      <c r="S56" s="5">
        <f t="shared" si="1"/>
        <v>0</v>
      </c>
      <c r="T56">
        <f>SUM($S$26:S57)</f>
        <v>0</v>
      </c>
    </row>
    <row r="57" spans="1:20" x14ac:dyDescent="0.2">
      <c r="A57" s="6"/>
      <c r="B57" s="7"/>
      <c r="C57" s="9" t="str">
        <f t="shared" si="2"/>
        <v/>
      </c>
      <c r="D57" s="25" t="str">
        <f t="shared" si="3"/>
        <v/>
      </c>
      <c r="E57" s="21" t="str">
        <f t="shared" ref="E57:E88" si="12">IF(C57="","",$N$17+$N$18*C57+$N$19*D57)</f>
        <v/>
      </c>
      <c r="F57" s="21" t="str">
        <f t="shared" si="4"/>
        <v/>
      </c>
      <c r="G57" s="21" t="str">
        <f t="shared" si="5"/>
        <v/>
      </c>
      <c r="H57" s="21"/>
      <c r="J57" s="5"/>
      <c r="K57" s="29"/>
      <c r="M57" s="15">
        <f t="shared" si="6"/>
        <v>-187.00346244002372</v>
      </c>
      <c r="N57" s="15">
        <f t="shared" si="7"/>
        <v>187.00346244002372</v>
      </c>
      <c r="P57" s="9">
        <v>33</v>
      </c>
      <c r="Q57" s="20">
        <f t="shared" si="10"/>
        <v>0</v>
      </c>
      <c r="R57" s="20">
        <f t="shared" si="11"/>
        <v>0</v>
      </c>
      <c r="S57" s="5">
        <f t="shared" ref="S57:S88" si="13">IF(C57&gt;$C$15,0,IF(ABS(G57)&gt;=$I$3,1,0))</f>
        <v>0</v>
      </c>
      <c r="T57">
        <f>SUM($S$26:S58)</f>
        <v>0</v>
      </c>
    </row>
    <row r="58" spans="1:20" x14ac:dyDescent="0.2">
      <c r="A58" s="6"/>
      <c r="B58" s="7"/>
      <c r="C58" s="9" t="str">
        <f t="shared" si="2"/>
        <v/>
      </c>
      <c r="D58" s="25" t="str">
        <f t="shared" si="3"/>
        <v/>
      </c>
      <c r="E58" s="21" t="str">
        <f t="shared" si="12"/>
        <v/>
      </c>
      <c r="F58" s="21" t="str">
        <f t="shared" si="4"/>
        <v/>
      </c>
      <c r="G58" s="21" t="str">
        <f t="shared" si="5"/>
        <v/>
      </c>
      <c r="H58" s="21"/>
      <c r="J58" s="5"/>
      <c r="K58" s="29"/>
      <c r="M58" s="15">
        <f t="shared" si="6"/>
        <v>-187.00346244002372</v>
      </c>
      <c r="N58" s="15">
        <f t="shared" si="7"/>
        <v>187.00346244002372</v>
      </c>
      <c r="P58" s="9">
        <v>34</v>
      </c>
      <c r="Q58" s="20">
        <f t="shared" si="10"/>
        <v>0</v>
      </c>
      <c r="R58" s="20">
        <f t="shared" si="11"/>
        <v>0</v>
      </c>
      <c r="S58" s="5">
        <f t="shared" si="13"/>
        <v>0</v>
      </c>
      <c r="T58">
        <f>SUM($S$26:S59)</f>
        <v>0</v>
      </c>
    </row>
    <row r="59" spans="1:20" x14ac:dyDescent="0.2">
      <c r="A59" s="6"/>
      <c r="B59" s="7"/>
      <c r="C59" s="9" t="str">
        <f t="shared" si="2"/>
        <v/>
      </c>
      <c r="D59" s="25" t="str">
        <f t="shared" si="3"/>
        <v/>
      </c>
      <c r="E59" s="21" t="str">
        <f t="shared" si="12"/>
        <v/>
      </c>
      <c r="F59" s="21" t="str">
        <f t="shared" si="4"/>
        <v/>
      </c>
      <c r="G59" s="21" t="str">
        <f t="shared" si="5"/>
        <v/>
      </c>
      <c r="H59" s="21"/>
      <c r="J59" s="5"/>
      <c r="K59" s="29"/>
      <c r="M59" s="15">
        <f t="shared" si="6"/>
        <v>-187.00346244002372</v>
      </c>
      <c r="N59" s="15">
        <f t="shared" si="7"/>
        <v>187.00346244002372</v>
      </c>
      <c r="P59" s="9">
        <v>35</v>
      </c>
      <c r="Q59" s="20">
        <f t="shared" si="10"/>
        <v>0</v>
      </c>
      <c r="R59" s="20">
        <f t="shared" si="11"/>
        <v>0</v>
      </c>
      <c r="S59" s="5">
        <f t="shared" si="13"/>
        <v>0</v>
      </c>
      <c r="T59">
        <f>SUM($S$26:S60)</f>
        <v>0</v>
      </c>
    </row>
    <row r="60" spans="1:20" x14ac:dyDescent="0.2">
      <c r="A60" s="6"/>
      <c r="B60" s="7"/>
      <c r="C60" s="9" t="str">
        <f t="shared" si="2"/>
        <v/>
      </c>
      <c r="D60" s="25" t="str">
        <f t="shared" si="3"/>
        <v/>
      </c>
      <c r="E60" s="21" t="str">
        <f t="shared" si="12"/>
        <v/>
      </c>
      <c r="F60" s="21" t="str">
        <f t="shared" si="4"/>
        <v/>
      </c>
      <c r="G60" s="21" t="str">
        <f t="shared" si="5"/>
        <v/>
      </c>
      <c r="H60" s="21"/>
      <c r="J60" s="5"/>
      <c r="K60" s="29"/>
      <c r="M60" s="15">
        <f t="shared" si="6"/>
        <v>-187.00346244002372</v>
      </c>
      <c r="N60" s="15">
        <f t="shared" si="7"/>
        <v>187.00346244002372</v>
      </c>
      <c r="P60" s="9">
        <v>36</v>
      </c>
      <c r="Q60" s="20">
        <f t="shared" si="10"/>
        <v>0</v>
      </c>
      <c r="R60" s="20">
        <f t="shared" si="11"/>
        <v>0</v>
      </c>
      <c r="S60" s="5">
        <f t="shared" si="13"/>
        <v>0</v>
      </c>
      <c r="T60">
        <f>SUM($S$26:S61)</f>
        <v>0</v>
      </c>
    </row>
    <row r="61" spans="1:20" x14ac:dyDescent="0.2">
      <c r="A61" s="6"/>
      <c r="B61" s="7"/>
      <c r="C61" s="9" t="str">
        <f t="shared" si="2"/>
        <v/>
      </c>
      <c r="D61" s="25" t="str">
        <f t="shared" si="3"/>
        <v/>
      </c>
      <c r="E61" s="21" t="str">
        <f t="shared" si="12"/>
        <v/>
      </c>
      <c r="F61" s="21" t="str">
        <f t="shared" si="4"/>
        <v/>
      </c>
      <c r="G61" s="21" t="str">
        <f t="shared" si="5"/>
        <v/>
      </c>
      <c r="H61" s="21"/>
      <c r="J61" s="5"/>
      <c r="K61" s="29"/>
      <c r="M61" s="15">
        <f t="shared" si="6"/>
        <v>-187.00346244002372</v>
      </c>
      <c r="N61" s="15">
        <f t="shared" si="7"/>
        <v>187.00346244002372</v>
      </c>
      <c r="P61" s="9">
        <v>37</v>
      </c>
      <c r="Q61" s="20">
        <f t="shared" si="10"/>
        <v>0</v>
      </c>
      <c r="R61" s="20">
        <f t="shared" si="11"/>
        <v>0</v>
      </c>
      <c r="S61" s="5">
        <f t="shared" si="13"/>
        <v>0</v>
      </c>
      <c r="T61">
        <f>SUM($S$26:S62)</f>
        <v>0</v>
      </c>
    </row>
    <row r="62" spans="1:20" x14ac:dyDescent="0.2">
      <c r="A62" s="6"/>
      <c r="B62" s="7"/>
      <c r="C62" s="9" t="str">
        <f t="shared" si="2"/>
        <v/>
      </c>
      <c r="D62" s="25" t="str">
        <f t="shared" si="3"/>
        <v/>
      </c>
      <c r="E62" s="21" t="str">
        <f t="shared" si="12"/>
        <v/>
      </c>
      <c r="F62" s="21" t="str">
        <f t="shared" si="4"/>
        <v/>
      </c>
      <c r="G62" s="21" t="str">
        <f t="shared" si="5"/>
        <v/>
      </c>
      <c r="H62" s="21"/>
      <c r="J62" s="5"/>
      <c r="K62" s="29"/>
      <c r="M62" s="15">
        <f t="shared" si="6"/>
        <v>-187.00346244002372</v>
      </c>
      <c r="N62" s="15">
        <f t="shared" si="7"/>
        <v>187.00346244002372</v>
      </c>
      <c r="P62" s="9">
        <v>38</v>
      </c>
      <c r="Q62" s="20">
        <f t="shared" si="10"/>
        <v>0</v>
      </c>
      <c r="R62" s="20">
        <f t="shared" si="11"/>
        <v>0</v>
      </c>
      <c r="S62" s="5">
        <f t="shared" si="13"/>
        <v>0</v>
      </c>
      <c r="T62">
        <f>SUM($S$26:S63)</f>
        <v>0</v>
      </c>
    </row>
    <row r="63" spans="1:20" x14ac:dyDescent="0.2">
      <c r="A63" s="6"/>
      <c r="B63" s="7"/>
      <c r="C63" s="9" t="str">
        <f>IF(A63="","",A63)</f>
        <v/>
      </c>
      <c r="D63" s="25" t="str">
        <f t="shared" si="3"/>
        <v/>
      </c>
      <c r="E63" s="21" t="str">
        <f t="shared" si="12"/>
        <v/>
      </c>
      <c r="F63" s="21" t="str">
        <f t="shared" si="4"/>
        <v/>
      </c>
      <c r="G63" s="21" t="str">
        <f t="shared" si="5"/>
        <v/>
      </c>
      <c r="H63" s="21"/>
      <c r="J63" s="5"/>
      <c r="K63" s="29"/>
      <c r="M63" s="15">
        <f t="shared" si="6"/>
        <v>-187.00346244002372</v>
      </c>
      <c r="N63" s="15">
        <f t="shared" si="7"/>
        <v>187.00346244002372</v>
      </c>
      <c r="P63" s="9">
        <v>39</v>
      </c>
      <c r="Q63" s="20">
        <f t="shared" si="10"/>
        <v>0</v>
      </c>
      <c r="R63" s="20">
        <f t="shared" si="11"/>
        <v>0</v>
      </c>
      <c r="S63" s="5">
        <f t="shared" si="13"/>
        <v>0</v>
      </c>
      <c r="T63">
        <f>SUM($S$26:S64)</f>
        <v>0</v>
      </c>
    </row>
    <row r="64" spans="1:20" x14ac:dyDescent="0.2">
      <c r="A64" s="6"/>
      <c r="B64" s="7"/>
      <c r="C64" s="9" t="str">
        <f t="shared" si="2"/>
        <v/>
      </c>
      <c r="D64" s="25" t="str">
        <f t="shared" si="3"/>
        <v/>
      </c>
      <c r="E64" s="21" t="str">
        <f t="shared" si="12"/>
        <v/>
      </c>
      <c r="F64" s="21" t="str">
        <f t="shared" si="4"/>
        <v/>
      </c>
      <c r="G64" s="21" t="str">
        <f t="shared" si="5"/>
        <v/>
      </c>
      <c r="H64" s="21"/>
      <c r="J64" s="5"/>
      <c r="K64" s="29"/>
      <c r="M64" s="15">
        <f t="shared" si="6"/>
        <v>-187.00346244002372</v>
      </c>
      <c r="N64" s="15">
        <f t="shared" si="7"/>
        <v>187.00346244002372</v>
      </c>
      <c r="P64" s="9">
        <v>40</v>
      </c>
      <c r="Q64" s="20">
        <f t="shared" si="10"/>
        <v>0</v>
      </c>
      <c r="R64" s="20">
        <f t="shared" si="11"/>
        <v>0</v>
      </c>
      <c r="S64" s="5">
        <f t="shared" si="13"/>
        <v>0</v>
      </c>
      <c r="T64">
        <f>SUM($S$26:S65)</f>
        <v>0</v>
      </c>
    </row>
    <row r="65" spans="1:20" x14ac:dyDescent="0.2">
      <c r="A65" s="6"/>
      <c r="B65" s="7"/>
      <c r="C65" s="9" t="str">
        <f t="shared" si="2"/>
        <v/>
      </c>
      <c r="D65" s="25" t="str">
        <f t="shared" si="3"/>
        <v/>
      </c>
      <c r="E65" s="21" t="str">
        <f t="shared" si="12"/>
        <v/>
      </c>
      <c r="F65" s="21" t="str">
        <f t="shared" si="4"/>
        <v/>
      </c>
      <c r="G65" s="21" t="str">
        <f t="shared" si="5"/>
        <v/>
      </c>
      <c r="H65" s="21"/>
      <c r="J65" s="5"/>
      <c r="K65" s="29"/>
      <c r="M65" s="15">
        <f t="shared" si="6"/>
        <v>-187.00346244002372</v>
      </c>
      <c r="N65" s="15">
        <f t="shared" si="7"/>
        <v>187.00346244002372</v>
      </c>
      <c r="P65" s="9">
        <v>41</v>
      </c>
      <c r="Q65" s="20">
        <f t="shared" si="10"/>
        <v>0</v>
      </c>
      <c r="R65" s="20">
        <f t="shared" si="11"/>
        <v>0</v>
      </c>
      <c r="S65" s="5">
        <f t="shared" si="13"/>
        <v>0</v>
      </c>
      <c r="T65">
        <f>SUM($S$26:S66)</f>
        <v>0</v>
      </c>
    </row>
    <row r="66" spans="1:20" x14ac:dyDescent="0.2">
      <c r="A66" s="6"/>
      <c r="B66" s="7"/>
      <c r="C66" s="9" t="str">
        <f t="shared" si="2"/>
        <v/>
      </c>
      <c r="D66" s="25" t="str">
        <f t="shared" si="3"/>
        <v/>
      </c>
      <c r="E66" s="21" t="str">
        <f t="shared" si="12"/>
        <v/>
      </c>
      <c r="F66" s="21" t="str">
        <f t="shared" si="4"/>
        <v/>
      </c>
      <c r="G66" s="21" t="str">
        <f t="shared" si="5"/>
        <v/>
      </c>
      <c r="H66" s="21"/>
      <c r="J66" s="5"/>
      <c r="K66" s="29"/>
      <c r="M66" s="15">
        <f t="shared" si="6"/>
        <v>-187.00346244002372</v>
      </c>
      <c r="N66" s="15">
        <f t="shared" si="7"/>
        <v>187.00346244002372</v>
      </c>
      <c r="P66" s="9">
        <v>42</v>
      </c>
      <c r="Q66" s="20">
        <f t="shared" ref="Q66:Q97" si="14">IF(C66&gt;$C$15,0,+Q65+ABS(G66))</f>
        <v>0</v>
      </c>
      <c r="R66" s="20">
        <f t="shared" ref="R66:R97" si="15">IF(C66&gt;$C$15,0,+R65+G66^2)</f>
        <v>0</v>
      </c>
      <c r="S66" s="5">
        <f t="shared" si="13"/>
        <v>0</v>
      </c>
      <c r="T66">
        <f>SUM($S$26:S67)</f>
        <v>0</v>
      </c>
    </row>
    <row r="67" spans="1:20" x14ac:dyDescent="0.2">
      <c r="A67" s="6"/>
      <c r="B67" s="7"/>
      <c r="C67" s="9" t="str">
        <f t="shared" si="2"/>
        <v/>
      </c>
      <c r="D67" s="25" t="str">
        <f t="shared" si="3"/>
        <v/>
      </c>
      <c r="E67" s="21" t="str">
        <f t="shared" si="12"/>
        <v/>
      </c>
      <c r="F67" s="21" t="str">
        <f t="shared" si="4"/>
        <v/>
      </c>
      <c r="G67" s="21" t="str">
        <f t="shared" si="5"/>
        <v/>
      </c>
      <c r="H67" s="21"/>
      <c r="J67" s="5"/>
      <c r="K67" s="29"/>
      <c r="M67" s="15">
        <f t="shared" si="6"/>
        <v>-187.00346244002372</v>
      </c>
      <c r="N67" s="15">
        <f t="shared" si="7"/>
        <v>187.00346244002372</v>
      </c>
      <c r="P67" s="9">
        <v>43</v>
      </c>
      <c r="Q67" s="20">
        <f t="shared" si="14"/>
        <v>0</v>
      </c>
      <c r="R67" s="20">
        <f t="shared" si="15"/>
        <v>0</v>
      </c>
      <c r="S67" s="5">
        <f t="shared" si="13"/>
        <v>0</v>
      </c>
      <c r="T67">
        <f>SUM($S$26:S68)</f>
        <v>0</v>
      </c>
    </row>
    <row r="68" spans="1:20" x14ac:dyDescent="0.2">
      <c r="A68" s="6"/>
      <c r="B68" s="7"/>
      <c r="C68" s="9" t="str">
        <f t="shared" si="2"/>
        <v/>
      </c>
      <c r="D68" s="25" t="str">
        <f t="shared" si="3"/>
        <v/>
      </c>
      <c r="E68" s="21" t="str">
        <f t="shared" si="12"/>
        <v/>
      </c>
      <c r="F68" s="21" t="str">
        <f t="shared" si="4"/>
        <v/>
      </c>
      <c r="G68" s="21" t="str">
        <f t="shared" si="5"/>
        <v/>
      </c>
      <c r="H68" s="21"/>
      <c r="J68" s="5"/>
      <c r="K68" s="29"/>
      <c r="M68" s="15">
        <f t="shared" si="6"/>
        <v>-187.00346244002372</v>
      </c>
      <c r="N68" s="15">
        <f t="shared" si="7"/>
        <v>187.00346244002372</v>
      </c>
      <c r="P68" s="9">
        <v>44</v>
      </c>
      <c r="Q68" s="20">
        <f t="shared" si="14"/>
        <v>0</v>
      </c>
      <c r="R68" s="20">
        <f t="shared" si="15"/>
        <v>0</v>
      </c>
      <c r="S68" s="5">
        <f t="shared" si="13"/>
        <v>0</v>
      </c>
      <c r="T68">
        <f>SUM($S$26:S69)</f>
        <v>0</v>
      </c>
    </row>
    <row r="69" spans="1:20" x14ac:dyDescent="0.2">
      <c r="A69" s="6"/>
      <c r="B69" s="7"/>
      <c r="C69" s="9" t="str">
        <f t="shared" si="2"/>
        <v/>
      </c>
      <c r="D69" s="25" t="str">
        <f t="shared" si="3"/>
        <v/>
      </c>
      <c r="E69" s="21" t="str">
        <f t="shared" si="12"/>
        <v/>
      </c>
      <c r="F69" s="21" t="str">
        <f t="shared" si="4"/>
        <v/>
      </c>
      <c r="G69" s="21" t="str">
        <f t="shared" si="5"/>
        <v/>
      </c>
      <c r="H69" s="21"/>
      <c r="J69" s="5"/>
      <c r="K69" s="29"/>
      <c r="M69" s="15">
        <f t="shared" si="6"/>
        <v>-187.00346244002372</v>
      </c>
      <c r="N69" s="15">
        <f t="shared" si="7"/>
        <v>187.00346244002372</v>
      </c>
      <c r="P69" s="9">
        <v>45</v>
      </c>
      <c r="Q69" s="20">
        <f t="shared" si="14"/>
        <v>0</v>
      </c>
      <c r="R69" s="20">
        <f t="shared" si="15"/>
        <v>0</v>
      </c>
      <c r="S69" s="5">
        <f t="shared" si="13"/>
        <v>0</v>
      </c>
      <c r="T69">
        <f>SUM($S$26:S70)</f>
        <v>0</v>
      </c>
    </row>
    <row r="70" spans="1:20" x14ac:dyDescent="0.2">
      <c r="A70" s="6"/>
      <c r="B70" s="7"/>
      <c r="C70" s="9" t="str">
        <f t="shared" si="2"/>
        <v/>
      </c>
      <c r="D70" s="25" t="str">
        <f t="shared" si="3"/>
        <v/>
      </c>
      <c r="E70" s="21" t="str">
        <f t="shared" si="12"/>
        <v/>
      </c>
      <c r="F70" s="21" t="str">
        <f t="shared" si="4"/>
        <v/>
      </c>
      <c r="G70" s="21" t="str">
        <f t="shared" si="5"/>
        <v/>
      </c>
      <c r="H70" s="21"/>
      <c r="J70" s="5"/>
      <c r="K70" s="29"/>
      <c r="M70" s="15">
        <f t="shared" si="6"/>
        <v>-187.00346244002372</v>
      </c>
      <c r="N70" s="15">
        <f t="shared" si="7"/>
        <v>187.00346244002372</v>
      </c>
      <c r="P70" s="9">
        <v>46</v>
      </c>
      <c r="Q70" s="20">
        <f t="shared" si="14"/>
        <v>0</v>
      </c>
      <c r="R70" s="20">
        <f t="shared" si="15"/>
        <v>0</v>
      </c>
      <c r="S70" s="5">
        <f t="shared" si="13"/>
        <v>0</v>
      </c>
      <c r="T70">
        <f>SUM($S$26:S71)</f>
        <v>0</v>
      </c>
    </row>
    <row r="71" spans="1:20" x14ac:dyDescent="0.2">
      <c r="A71" s="6"/>
      <c r="B71" s="7"/>
      <c r="C71" s="9" t="str">
        <f t="shared" si="2"/>
        <v/>
      </c>
      <c r="D71" s="25" t="str">
        <f t="shared" si="3"/>
        <v/>
      </c>
      <c r="E71" s="21" t="str">
        <f t="shared" si="12"/>
        <v/>
      </c>
      <c r="F71" s="21" t="str">
        <f t="shared" si="4"/>
        <v/>
      </c>
      <c r="G71" s="21" t="str">
        <f t="shared" si="5"/>
        <v/>
      </c>
      <c r="H71" s="21"/>
      <c r="J71" s="5"/>
      <c r="K71" s="29"/>
      <c r="M71" s="15">
        <f t="shared" si="6"/>
        <v>-187.00346244002372</v>
      </c>
      <c r="N71" s="15">
        <f t="shared" si="7"/>
        <v>187.00346244002372</v>
      </c>
      <c r="P71" s="9">
        <v>47</v>
      </c>
      <c r="Q71" s="20">
        <f t="shared" si="14"/>
        <v>0</v>
      </c>
      <c r="R71" s="20">
        <f t="shared" si="15"/>
        <v>0</v>
      </c>
      <c r="S71" s="5">
        <f t="shared" si="13"/>
        <v>0</v>
      </c>
      <c r="T71">
        <f>SUM($S$26:S72)</f>
        <v>0</v>
      </c>
    </row>
    <row r="72" spans="1:20" x14ac:dyDescent="0.2">
      <c r="A72" s="6"/>
      <c r="B72" s="7"/>
      <c r="C72" s="9" t="str">
        <f t="shared" si="2"/>
        <v/>
      </c>
      <c r="D72" s="25" t="str">
        <f t="shared" si="3"/>
        <v/>
      </c>
      <c r="E72" s="21" t="str">
        <f t="shared" si="12"/>
        <v/>
      </c>
      <c r="F72" s="21" t="str">
        <f t="shared" si="4"/>
        <v/>
      </c>
      <c r="G72" s="21" t="str">
        <f t="shared" si="5"/>
        <v/>
      </c>
      <c r="H72" s="21"/>
      <c r="J72" s="5"/>
      <c r="K72" s="29"/>
      <c r="M72" s="15">
        <f t="shared" si="6"/>
        <v>-187.00346244002372</v>
      </c>
      <c r="N72" s="15">
        <f t="shared" si="7"/>
        <v>187.00346244002372</v>
      </c>
      <c r="P72" s="9">
        <v>48</v>
      </c>
      <c r="Q72" s="20">
        <f t="shared" si="14"/>
        <v>0</v>
      </c>
      <c r="R72" s="20">
        <f t="shared" si="15"/>
        <v>0</v>
      </c>
      <c r="S72" s="5">
        <f t="shared" si="13"/>
        <v>0</v>
      </c>
      <c r="T72">
        <f>SUM($S$26:S73)</f>
        <v>0</v>
      </c>
    </row>
    <row r="73" spans="1:20" x14ac:dyDescent="0.2">
      <c r="A73" s="6"/>
      <c r="B73" s="7"/>
      <c r="C73" s="9" t="str">
        <f t="shared" si="2"/>
        <v/>
      </c>
      <c r="D73" s="25" t="str">
        <f t="shared" si="3"/>
        <v/>
      </c>
      <c r="E73" s="21" t="str">
        <f t="shared" si="12"/>
        <v/>
      </c>
      <c r="F73" s="21" t="str">
        <f t="shared" si="4"/>
        <v/>
      </c>
      <c r="G73" s="21" t="str">
        <f t="shared" si="5"/>
        <v/>
      </c>
      <c r="H73" s="21"/>
      <c r="J73" s="5"/>
      <c r="K73" s="29"/>
      <c r="M73" s="15">
        <f t="shared" si="6"/>
        <v>-187.00346244002372</v>
      </c>
      <c r="N73" s="15">
        <f t="shared" si="7"/>
        <v>187.00346244002372</v>
      </c>
      <c r="P73" s="9">
        <v>49</v>
      </c>
      <c r="Q73" s="20">
        <f t="shared" si="14"/>
        <v>0</v>
      </c>
      <c r="R73" s="20">
        <f t="shared" si="15"/>
        <v>0</v>
      </c>
      <c r="S73" s="5">
        <f t="shared" si="13"/>
        <v>0</v>
      </c>
      <c r="T73">
        <f>SUM($S$26:S74)</f>
        <v>0</v>
      </c>
    </row>
    <row r="74" spans="1:20" x14ac:dyDescent="0.2">
      <c r="A74" s="6"/>
      <c r="B74" s="7"/>
      <c r="C74" s="9" t="str">
        <f t="shared" si="2"/>
        <v/>
      </c>
      <c r="D74" s="25" t="str">
        <f t="shared" si="3"/>
        <v/>
      </c>
      <c r="E74" s="21" t="str">
        <f t="shared" si="12"/>
        <v/>
      </c>
      <c r="F74" s="21" t="str">
        <f t="shared" si="4"/>
        <v/>
      </c>
      <c r="G74" s="21" t="str">
        <f t="shared" si="5"/>
        <v/>
      </c>
      <c r="H74" s="21"/>
      <c r="J74" s="5"/>
      <c r="K74" s="29"/>
      <c r="M74" s="15">
        <f t="shared" si="6"/>
        <v>-187.00346244002372</v>
      </c>
      <c r="N74" s="15">
        <f t="shared" si="7"/>
        <v>187.00346244002372</v>
      </c>
      <c r="P74" s="9">
        <v>50</v>
      </c>
      <c r="Q74" s="20">
        <f t="shared" si="14"/>
        <v>0</v>
      </c>
      <c r="R74" s="20">
        <f t="shared" si="15"/>
        <v>0</v>
      </c>
      <c r="S74" s="5">
        <f t="shared" si="13"/>
        <v>0</v>
      </c>
      <c r="T74">
        <f>SUM($S$26:S75)</f>
        <v>0</v>
      </c>
    </row>
    <row r="75" spans="1:20" x14ac:dyDescent="0.2">
      <c r="A75" s="6"/>
      <c r="B75" s="7"/>
      <c r="C75" s="9" t="str">
        <f t="shared" si="2"/>
        <v/>
      </c>
      <c r="D75" s="25" t="str">
        <f t="shared" si="3"/>
        <v/>
      </c>
      <c r="E75" s="21" t="str">
        <f t="shared" si="12"/>
        <v/>
      </c>
      <c r="F75" s="21" t="str">
        <f t="shared" si="4"/>
        <v/>
      </c>
      <c r="G75" s="21" t="str">
        <f t="shared" si="5"/>
        <v/>
      </c>
      <c r="H75" s="21"/>
      <c r="J75" s="5"/>
      <c r="K75" s="29"/>
      <c r="M75" s="15">
        <f t="shared" si="6"/>
        <v>-187.00346244002372</v>
      </c>
      <c r="N75" s="15">
        <f t="shared" si="7"/>
        <v>187.00346244002372</v>
      </c>
      <c r="P75" s="9">
        <v>51</v>
      </c>
      <c r="Q75" s="20">
        <f t="shared" si="14"/>
        <v>0</v>
      </c>
      <c r="R75" s="20">
        <f t="shared" si="15"/>
        <v>0</v>
      </c>
      <c r="S75" s="5">
        <f t="shared" si="13"/>
        <v>0</v>
      </c>
      <c r="T75">
        <f>SUM($S$26:S76)</f>
        <v>0</v>
      </c>
    </row>
    <row r="76" spans="1:20" x14ac:dyDescent="0.2">
      <c r="A76" s="6"/>
      <c r="B76" s="7"/>
      <c r="C76" s="9" t="str">
        <f t="shared" si="2"/>
        <v/>
      </c>
      <c r="D76" s="25" t="str">
        <f t="shared" si="3"/>
        <v/>
      </c>
      <c r="E76" s="21" t="str">
        <f t="shared" si="12"/>
        <v/>
      </c>
      <c r="F76" s="21" t="str">
        <f t="shared" si="4"/>
        <v/>
      </c>
      <c r="G76" s="21" t="str">
        <f t="shared" si="5"/>
        <v/>
      </c>
      <c r="H76" s="21"/>
      <c r="J76" s="5"/>
      <c r="K76" s="29"/>
      <c r="M76" s="15">
        <f t="shared" si="6"/>
        <v>-187.00346244002372</v>
      </c>
      <c r="N76" s="15">
        <f t="shared" si="7"/>
        <v>187.00346244002372</v>
      </c>
      <c r="P76" s="9">
        <v>52</v>
      </c>
      <c r="Q76" s="20">
        <f t="shared" si="14"/>
        <v>0</v>
      </c>
      <c r="R76" s="20">
        <f t="shared" si="15"/>
        <v>0</v>
      </c>
      <c r="S76" s="5">
        <f t="shared" si="13"/>
        <v>0</v>
      </c>
      <c r="T76">
        <f>SUM($S$26:S77)</f>
        <v>0</v>
      </c>
    </row>
    <row r="77" spans="1:20" x14ac:dyDescent="0.2">
      <c r="A77" s="6"/>
      <c r="B77" s="7"/>
      <c r="C77" s="9" t="str">
        <f t="shared" si="2"/>
        <v/>
      </c>
      <c r="D77" s="25" t="str">
        <f t="shared" si="3"/>
        <v/>
      </c>
      <c r="E77" s="21" t="str">
        <f t="shared" si="12"/>
        <v/>
      </c>
      <c r="F77" s="21" t="str">
        <f t="shared" si="4"/>
        <v/>
      </c>
      <c r="G77" s="21" t="str">
        <f t="shared" si="5"/>
        <v/>
      </c>
      <c r="H77" s="21"/>
      <c r="J77" s="5"/>
      <c r="K77" s="29"/>
      <c r="M77" s="15">
        <f t="shared" si="6"/>
        <v>-187.00346244002372</v>
      </c>
      <c r="N77" s="15">
        <f t="shared" si="7"/>
        <v>187.00346244002372</v>
      </c>
      <c r="P77" s="9">
        <v>53</v>
      </c>
      <c r="Q77" s="20">
        <f t="shared" si="14"/>
        <v>0</v>
      </c>
      <c r="R77" s="20">
        <f t="shared" si="15"/>
        <v>0</v>
      </c>
      <c r="S77" s="5">
        <f t="shared" si="13"/>
        <v>0</v>
      </c>
      <c r="T77">
        <f>SUM($S$26:S78)</f>
        <v>0</v>
      </c>
    </row>
    <row r="78" spans="1:20" x14ac:dyDescent="0.2">
      <c r="A78" s="6"/>
      <c r="B78" s="7"/>
      <c r="C78" s="9" t="str">
        <f t="shared" si="2"/>
        <v/>
      </c>
      <c r="D78" s="25" t="str">
        <f t="shared" si="3"/>
        <v/>
      </c>
      <c r="E78" s="21" t="str">
        <f t="shared" si="12"/>
        <v/>
      </c>
      <c r="F78" s="21" t="str">
        <f t="shared" si="4"/>
        <v/>
      </c>
      <c r="G78" s="21" t="str">
        <f t="shared" si="5"/>
        <v/>
      </c>
      <c r="H78" s="21"/>
      <c r="J78" s="5"/>
      <c r="K78" s="29"/>
      <c r="M78" s="15">
        <f t="shared" si="6"/>
        <v>-187.00346244002372</v>
      </c>
      <c r="N78" s="15">
        <f t="shared" si="7"/>
        <v>187.00346244002372</v>
      </c>
      <c r="P78" s="9">
        <v>54</v>
      </c>
      <c r="Q78" s="20">
        <f t="shared" si="14"/>
        <v>0</v>
      </c>
      <c r="R78" s="20">
        <f t="shared" si="15"/>
        <v>0</v>
      </c>
      <c r="S78" s="5">
        <f t="shared" si="13"/>
        <v>0</v>
      </c>
      <c r="T78">
        <f>SUM($S$26:S79)</f>
        <v>0</v>
      </c>
    </row>
    <row r="79" spans="1:20" x14ac:dyDescent="0.2">
      <c r="A79" s="6"/>
      <c r="B79" s="7"/>
      <c r="C79" s="9" t="str">
        <f t="shared" si="2"/>
        <v/>
      </c>
      <c r="D79" s="25" t="str">
        <f t="shared" si="3"/>
        <v/>
      </c>
      <c r="E79" s="21" t="str">
        <f t="shared" si="12"/>
        <v/>
      </c>
      <c r="F79" s="21" t="str">
        <f t="shared" si="4"/>
        <v/>
      </c>
      <c r="G79" s="21" t="str">
        <f t="shared" si="5"/>
        <v/>
      </c>
      <c r="H79" s="21"/>
      <c r="J79" s="5"/>
      <c r="K79" s="29"/>
      <c r="M79" s="15">
        <f t="shared" si="6"/>
        <v>-187.00346244002372</v>
      </c>
      <c r="N79" s="15">
        <f t="shared" si="7"/>
        <v>187.00346244002372</v>
      </c>
      <c r="P79" s="9">
        <v>55</v>
      </c>
      <c r="Q79" s="20">
        <f t="shared" si="14"/>
        <v>0</v>
      </c>
      <c r="R79" s="20">
        <f t="shared" si="15"/>
        <v>0</v>
      </c>
      <c r="S79" s="5">
        <f t="shared" si="13"/>
        <v>0</v>
      </c>
      <c r="T79">
        <f>SUM($S$26:S80)</f>
        <v>0</v>
      </c>
    </row>
    <row r="80" spans="1:20" x14ac:dyDescent="0.2">
      <c r="A80" s="6"/>
      <c r="B80" s="7"/>
      <c r="C80" s="9" t="str">
        <f t="shared" si="2"/>
        <v/>
      </c>
      <c r="D80" s="25" t="str">
        <f t="shared" si="3"/>
        <v/>
      </c>
      <c r="E80" s="21" t="str">
        <f t="shared" si="12"/>
        <v/>
      </c>
      <c r="F80" s="21" t="str">
        <f t="shared" si="4"/>
        <v/>
      </c>
      <c r="G80" s="21" t="str">
        <f t="shared" si="5"/>
        <v/>
      </c>
      <c r="H80" s="21"/>
      <c r="J80" s="5"/>
      <c r="K80" s="29"/>
      <c r="M80" s="15">
        <f t="shared" si="6"/>
        <v>-187.00346244002372</v>
      </c>
      <c r="N80" s="15">
        <f t="shared" si="7"/>
        <v>187.00346244002372</v>
      </c>
      <c r="P80" s="9">
        <v>56</v>
      </c>
      <c r="Q80" s="20">
        <f t="shared" si="14"/>
        <v>0</v>
      </c>
      <c r="R80" s="20">
        <f t="shared" si="15"/>
        <v>0</v>
      </c>
      <c r="S80" s="5">
        <f t="shared" si="13"/>
        <v>0</v>
      </c>
      <c r="T80">
        <f>SUM($S$26:S81)</f>
        <v>0</v>
      </c>
    </row>
    <row r="81" spans="1:20" x14ac:dyDescent="0.2">
      <c r="A81" s="6"/>
      <c r="B81" s="7"/>
      <c r="C81" s="9" t="str">
        <f>IF(A81="","",A81)</f>
        <v/>
      </c>
      <c r="D81" s="25" t="str">
        <f t="shared" si="3"/>
        <v/>
      </c>
      <c r="E81" s="21" t="str">
        <f t="shared" si="12"/>
        <v/>
      </c>
      <c r="F81" s="21" t="str">
        <f t="shared" si="4"/>
        <v/>
      </c>
      <c r="G81" s="21" t="str">
        <f t="shared" si="5"/>
        <v/>
      </c>
      <c r="H81" s="21"/>
      <c r="J81" s="5"/>
      <c r="K81" s="29"/>
      <c r="M81" s="15">
        <f t="shared" si="6"/>
        <v>-187.00346244002372</v>
      </c>
      <c r="N81" s="15">
        <f t="shared" si="7"/>
        <v>187.00346244002372</v>
      </c>
      <c r="P81" s="9">
        <v>57</v>
      </c>
      <c r="Q81" s="20">
        <f t="shared" si="14"/>
        <v>0</v>
      </c>
      <c r="R81" s="20">
        <f t="shared" si="15"/>
        <v>0</v>
      </c>
      <c r="S81" s="5">
        <f t="shared" si="13"/>
        <v>0</v>
      </c>
      <c r="T81">
        <f>SUM($S$26:S82)</f>
        <v>0</v>
      </c>
    </row>
    <row r="82" spans="1:20" x14ac:dyDescent="0.2">
      <c r="A82" s="6"/>
      <c r="B82" s="7"/>
      <c r="C82" s="9" t="str">
        <f t="shared" si="2"/>
        <v/>
      </c>
      <c r="D82" s="25" t="str">
        <f t="shared" si="3"/>
        <v/>
      </c>
      <c r="E82" s="21" t="str">
        <f t="shared" si="12"/>
        <v/>
      </c>
      <c r="F82" s="21" t="str">
        <f t="shared" si="4"/>
        <v/>
      </c>
      <c r="G82" s="21" t="str">
        <f t="shared" si="5"/>
        <v/>
      </c>
      <c r="H82" s="21"/>
      <c r="J82" s="5"/>
      <c r="K82" s="29"/>
      <c r="M82" s="15">
        <f t="shared" si="6"/>
        <v>-187.00346244002372</v>
      </c>
      <c r="N82" s="15">
        <f t="shared" si="7"/>
        <v>187.00346244002372</v>
      </c>
      <c r="P82" s="9">
        <v>58</v>
      </c>
      <c r="Q82" s="20">
        <f t="shared" si="14"/>
        <v>0</v>
      </c>
      <c r="R82" s="20">
        <f t="shared" si="15"/>
        <v>0</v>
      </c>
      <c r="S82" s="5">
        <f t="shared" si="13"/>
        <v>0</v>
      </c>
      <c r="T82">
        <f>SUM($S$26:S83)</f>
        <v>0</v>
      </c>
    </row>
    <row r="83" spans="1:20" x14ac:dyDescent="0.2">
      <c r="A83" s="6"/>
      <c r="B83" s="7"/>
      <c r="C83" s="9" t="str">
        <f t="shared" si="2"/>
        <v/>
      </c>
      <c r="D83" s="25" t="str">
        <f t="shared" si="3"/>
        <v/>
      </c>
      <c r="E83" s="21" t="str">
        <f t="shared" si="12"/>
        <v/>
      </c>
      <c r="F83" s="21" t="str">
        <f t="shared" si="4"/>
        <v/>
      </c>
      <c r="G83" s="21" t="str">
        <f t="shared" si="5"/>
        <v/>
      </c>
      <c r="H83" s="21"/>
      <c r="J83" s="5"/>
      <c r="K83" s="29"/>
      <c r="M83" s="15">
        <f t="shared" si="6"/>
        <v>-187.00346244002372</v>
      </c>
      <c r="N83" s="15">
        <f t="shared" si="7"/>
        <v>187.00346244002372</v>
      </c>
      <c r="P83" s="9">
        <v>59</v>
      </c>
      <c r="Q83" s="20">
        <f t="shared" si="14"/>
        <v>0</v>
      </c>
      <c r="R83" s="20">
        <f t="shared" si="15"/>
        <v>0</v>
      </c>
      <c r="S83" s="5">
        <f t="shared" si="13"/>
        <v>0</v>
      </c>
      <c r="T83">
        <f>SUM($S$26:S84)</f>
        <v>0</v>
      </c>
    </row>
    <row r="84" spans="1:20" x14ac:dyDescent="0.2">
      <c r="A84" s="6"/>
      <c r="B84" s="7"/>
      <c r="C84" s="9" t="str">
        <f t="shared" si="2"/>
        <v/>
      </c>
      <c r="D84" s="25" t="str">
        <f t="shared" si="3"/>
        <v/>
      </c>
      <c r="E84" s="21" t="str">
        <f t="shared" si="12"/>
        <v/>
      </c>
      <c r="F84" s="21" t="str">
        <f t="shared" si="4"/>
        <v/>
      </c>
      <c r="G84" s="21" t="str">
        <f t="shared" si="5"/>
        <v/>
      </c>
      <c r="H84" s="21"/>
      <c r="J84" s="5"/>
      <c r="K84" s="29"/>
      <c r="M84" s="15">
        <f t="shared" si="6"/>
        <v>-187.00346244002372</v>
      </c>
      <c r="N84" s="15">
        <f t="shared" si="7"/>
        <v>187.00346244002372</v>
      </c>
      <c r="P84" s="9">
        <v>60</v>
      </c>
      <c r="Q84" s="20">
        <f t="shared" si="14"/>
        <v>0</v>
      </c>
      <c r="R84" s="20">
        <f t="shared" si="15"/>
        <v>0</v>
      </c>
      <c r="S84" s="5">
        <f t="shared" si="13"/>
        <v>0</v>
      </c>
      <c r="T84">
        <f>SUM($S$26:S85)</f>
        <v>0</v>
      </c>
    </row>
    <row r="85" spans="1:20" x14ac:dyDescent="0.2">
      <c r="A85" s="6"/>
      <c r="B85" s="7"/>
      <c r="C85" s="9" t="str">
        <f t="shared" si="2"/>
        <v/>
      </c>
      <c r="D85" s="25" t="str">
        <f t="shared" si="3"/>
        <v/>
      </c>
      <c r="E85" s="21" t="str">
        <f t="shared" si="12"/>
        <v/>
      </c>
      <c r="F85" s="21" t="str">
        <f t="shared" si="4"/>
        <v/>
      </c>
      <c r="G85" s="21" t="str">
        <f t="shared" si="5"/>
        <v/>
      </c>
      <c r="H85" s="21"/>
      <c r="J85" s="5"/>
      <c r="K85" s="29"/>
      <c r="M85" s="15">
        <f t="shared" si="6"/>
        <v>-187.00346244002372</v>
      </c>
      <c r="N85" s="15">
        <f t="shared" si="7"/>
        <v>187.00346244002372</v>
      </c>
      <c r="P85" s="9">
        <v>61</v>
      </c>
      <c r="Q85" s="20">
        <f t="shared" si="14"/>
        <v>0</v>
      </c>
      <c r="R85" s="20">
        <f t="shared" si="15"/>
        <v>0</v>
      </c>
      <c r="S85" s="5">
        <f t="shared" si="13"/>
        <v>0</v>
      </c>
      <c r="T85">
        <f>SUM($S$26:S86)</f>
        <v>0</v>
      </c>
    </row>
    <row r="86" spans="1:20" x14ac:dyDescent="0.2">
      <c r="A86" s="6"/>
      <c r="B86" s="7"/>
      <c r="C86" s="9" t="str">
        <f t="shared" si="2"/>
        <v/>
      </c>
      <c r="D86" s="25" t="str">
        <f t="shared" si="3"/>
        <v/>
      </c>
      <c r="E86" s="21" t="str">
        <f t="shared" si="12"/>
        <v/>
      </c>
      <c r="F86" s="21" t="str">
        <f t="shared" si="4"/>
        <v/>
      </c>
      <c r="G86" s="21" t="str">
        <f t="shared" si="5"/>
        <v/>
      </c>
      <c r="H86" s="21"/>
      <c r="J86" s="5"/>
      <c r="K86" s="29"/>
      <c r="M86" s="15">
        <f t="shared" si="6"/>
        <v>-187.00346244002372</v>
      </c>
      <c r="N86" s="15">
        <f t="shared" si="7"/>
        <v>187.00346244002372</v>
      </c>
      <c r="P86" s="9">
        <v>62</v>
      </c>
      <c r="Q86" s="20">
        <f t="shared" si="14"/>
        <v>0</v>
      </c>
      <c r="R86" s="20">
        <f t="shared" si="15"/>
        <v>0</v>
      </c>
      <c r="S86" s="5">
        <f t="shared" si="13"/>
        <v>0</v>
      </c>
      <c r="T86">
        <f>SUM($S$26:S87)</f>
        <v>0</v>
      </c>
    </row>
    <row r="87" spans="1:20" x14ac:dyDescent="0.2">
      <c r="A87" s="6"/>
      <c r="B87" s="7"/>
      <c r="C87" s="9" t="str">
        <f t="shared" si="2"/>
        <v/>
      </c>
      <c r="D87" s="25" t="str">
        <f t="shared" si="3"/>
        <v/>
      </c>
      <c r="E87" s="21" t="str">
        <f t="shared" si="12"/>
        <v/>
      </c>
      <c r="F87" s="21" t="str">
        <f t="shared" si="4"/>
        <v/>
      </c>
      <c r="G87" s="21" t="str">
        <f t="shared" si="5"/>
        <v/>
      </c>
      <c r="H87" s="21"/>
      <c r="J87" s="5"/>
      <c r="K87" s="29"/>
      <c r="M87" s="15">
        <f t="shared" si="6"/>
        <v>-187.00346244002372</v>
      </c>
      <c r="N87" s="15">
        <f t="shared" si="7"/>
        <v>187.00346244002372</v>
      </c>
      <c r="P87" s="9">
        <v>63</v>
      </c>
      <c r="Q87" s="20">
        <f t="shared" si="14"/>
        <v>0</v>
      </c>
      <c r="R87" s="20">
        <f t="shared" si="15"/>
        <v>0</v>
      </c>
      <c r="S87" s="5">
        <f t="shared" si="13"/>
        <v>0</v>
      </c>
      <c r="T87">
        <f>SUM($S$26:S88)</f>
        <v>0</v>
      </c>
    </row>
    <row r="88" spans="1:20" x14ac:dyDescent="0.2">
      <c r="A88" s="6"/>
      <c r="B88" s="7"/>
      <c r="C88" s="9" t="str">
        <f t="shared" si="2"/>
        <v/>
      </c>
      <c r="D88" s="25" t="str">
        <f t="shared" si="3"/>
        <v/>
      </c>
      <c r="E88" s="21" t="str">
        <f t="shared" si="12"/>
        <v/>
      </c>
      <c r="F88" s="21" t="str">
        <f t="shared" si="4"/>
        <v/>
      </c>
      <c r="G88" s="21" t="str">
        <f t="shared" si="5"/>
        <v/>
      </c>
      <c r="H88" s="21"/>
      <c r="J88" s="5"/>
      <c r="K88" s="29"/>
      <c r="M88" s="15">
        <f t="shared" si="6"/>
        <v>-187.00346244002372</v>
      </c>
      <c r="N88" s="15">
        <f t="shared" si="7"/>
        <v>187.00346244002372</v>
      </c>
      <c r="P88" s="9">
        <v>64</v>
      </c>
      <c r="Q88" s="20">
        <f t="shared" si="14"/>
        <v>0</v>
      </c>
      <c r="R88" s="20">
        <f t="shared" si="15"/>
        <v>0</v>
      </c>
      <c r="S88" s="5">
        <f t="shared" si="13"/>
        <v>0</v>
      </c>
      <c r="T88">
        <f>SUM($S$26:S89)</f>
        <v>0</v>
      </c>
    </row>
    <row r="89" spans="1:20" x14ac:dyDescent="0.2">
      <c r="A89" s="6"/>
      <c r="B89" s="7"/>
      <c r="C89" s="9" t="str">
        <f t="shared" si="2"/>
        <v/>
      </c>
      <c r="D89" s="25" t="str">
        <f t="shared" si="3"/>
        <v/>
      </c>
      <c r="E89" s="21" t="str">
        <f t="shared" ref="E89:E120" si="16">IF(C89="","",$N$17+$N$18*C89+$N$19*D89)</f>
        <v/>
      </c>
      <c r="F89" s="21" t="str">
        <f t="shared" si="4"/>
        <v/>
      </c>
      <c r="G89" s="21" t="str">
        <f t="shared" si="5"/>
        <v/>
      </c>
      <c r="H89" s="21"/>
      <c r="J89" s="5"/>
      <c r="K89" s="29"/>
      <c r="M89" s="15">
        <f t="shared" si="6"/>
        <v>-187.00346244002372</v>
      </c>
      <c r="N89" s="15">
        <f t="shared" si="7"/>
        <v>187.00346244002372</v>
      </c>
      <c r="P89" s="9">
        <v>65</v>
      </c>
      <c r="Q89" s="20">
        <f t="shared" si="14"/>
        <v>0</v>
      </c>
      <c r="R89" s="20">
        <f t="shared" si="15"/>
        <v>0</v>
      </c>
      <c r="S89" s="5">
        <f t="shared" ref="S89:S120" si="17">IF(C89&gt;$C$15,0,IF(ABS(G89)&gt;=$I$3,1,0))</f>
        <v>0</v>
      </c>
      <c r="T89">
        <f>SUM($S$26:S90)</f>
        <v>0</v>
      </c>
    </row>
    <row r="90" spans="1:20" x14ac:dyDescent="0.2">
      <c r="A90" s="6"/>
      <c r="B90" s="7"/>
      <c r="C90" s="9" t="str">
        <f t="shared" ref="C90:C109" si="18">IF(A90="","",A90)</f>
        <v/>
      </c>
      <c r="D90" s="25" t="str">
        <f t="shared" ref="D90:D120" si="19">IF(C90="","",C90^2)</f>
        <v/>
      </c>
      <c r="E90" s="21" t="str">
        <f t="shared" si="16"/>
        <v/>
      </c>
      <c r="F90" s="21" t="str">
        <f t="shared" ref="F90:F120" si="20">IF(A90="","",IF(B90="",NA(),B90-E90))</f>
        <v/>
      </c>
      <c r="G90" s="21" t="str">
        <f t="shared" ref="G90:G112" si="21">IF(A90="","",IF(B90="",NA(),F90^2))</f>
        <v/>
      </c>
      <c r="H90" s="21"/>
      <c r="J90" s="5"/>
      <c r="K90" s="29"/>
      <c r="M90" s="15">
        <f t="shared" ref="M90:M120" si="22">-$I$3</f>
        <v>-187.00346244002372</v>
      </c>
      <c r="N90" s="15">
        <f t="shared" ref="N90:N120" si="23">$I$3</f>
        <v>187.00346244002372</v>
      </c>
      <c r="P90" s="9">
        <v>66</v>
      </c>
      <c r="Q90" s="20">
        <f t="shared" si="14"/>
        <v>0</v>
      </c>
      <c r="R90" s="20">
        <f t="shared" si="15"/>
        <v>0</v>
      </c>
      <c r="S90" s="5">
        <f t="shared" si="17"/>
        <v>0</v>
      </c>
      <c r="T90">
        <f>SUM($S$26:S91)</f>
        <v>0</v>
      </c>
    </row>
    <row r="91" spans="1:20" x14ac:dyDescent="0.2">
      <c r="A91" s="6"/>
      <c r="B91" s="7"/>
      <c r="C91" s="9" t="str">
        <f t="shared" si="18"/>
        <v/>
      </c>
      <c r="D91" s="25" t="str">
        <f t="shared" si="19"/>
        <v/>
      </c>
      <c r="E91" s="21" t="str">
        <f t="shared" si="16"/>
        <v/>
      </c>
      <c r="F91" s="21" t="str">
        <f t="shared" si="20"/>
        <v/>
      </c>
      <c r="G91" s="21" t="str">
        <f t="shared" si="21"/>
        <v/>
      </c>
      <c r="H91" s="21"/>
      <c r="J91" s="5"/>
      <c r="K91" s="29"/>
      <c r="M91" s="15">
        <f t="shared" si="22"/>
        <v>-187.00346244002372</v>
      </c>
      <c r="N91" s="15">
        <f t="shared" si="23"/>
        <v>187.00346244002372</v>
      </c>
      <c r="P91" s="9">
        <v>67</v>
      </c>
      <c r="Q91" s="20">
        <f t="shared" si="14"/>
        <v>0</v>
      </c>
      <c r="R91" s="20">
        <f t="shared" si="15"/>
        <v>0</v>
      </c>
      <c r="S91" s="5">
        <f t="shared" si="17"/>
        <v>0</v>
      </c>
      <c r="T91">
        <f>SUM($S$26:S92)</f>
        <v>0</v>
      </c>
    </row>
    <row r="92" spans="1:20" x14ac:dyDescent="0.2">
      <c r="A92" s="6"/>
      <c r="B92" s="7"/>
      <c r="C92" s="9" t="str">
        <f t="shared" si="18"/>
        <v/>
      </c>
      <c r="D92" s="25" t="str">
        <f t="shared" si="19"/>
        <v/>
      </c>
      <c r="E92" s="21" t="str">
        <f t="shared" si="16"/>
        <v/>
      </c>
      <c r="F92" s="21" t="str">
        <f t="shared" si="20"/>
        <v/>
      </c>
      <c r="G92" s="21" t="str">
        <f t="shared" si="21"/>
        <v/>
      </c>
      <c r="H92" s="21"/>
      <c r="J92" s="5"/>
      <c r="K92" s="29"/>
      <c r="M92" s="15">
        <f t="shared" si="22"/>
        <v>-187.00346244002372</v>
      </c>
      <c r="N92" s="15">
        <f t="shared" si="23"/>
        <v>187.00346244002372</v>
      </c>
      <c r="P92" s="9">
        <v>68</v>
      </c>
      <c r="Q92" s="20">
        <f t="shared" si="14"/>
        <v>0</v>
      </c>
      <c r="R92" s="20">
        <f t="shared" si="15"/>
        <v>0</v>
      </c>
      <c r="S92" s="5">
        <f t="shared" si="17"/>
        <v>0</v>
      </c>
      <c r="T92">
        <f>SUM($S$26:S93)</f>
        <v>0</v>
      </c>
    </row>
    <row r="93" spans="1:20" x14ac:dyDescent="0.2">
      <c r="A93" s="6"/>
      <c r="B93" s="7"/>
      <c r="C93" s="9" t="str">
        <f t="shared" si="18"/>
        <v/>
      </c>
      <c r="D93" s="25" t="str">
        <f t="shared" si="19"/>
        <v/>
      </c>
      <c r="E93" s="21" t="str">
        <f t="shared" si="16"/>
        <v/>
      </c>
      <c r="F93" s="21" t="str">
        <f t="shared" si="20"/>
        <v/>
      </c>
      <c r="G93" s="21" t="str">
        <f t="shared" si="21"/>
        <v/>
      </c>
      <c r="H93" s="21"/>
      <c r="J93" s="5"/>
      <c r="K93" s="29"/>
      <c r="M93" s="15">
        <f t="shared" si="22"/>
        <v>-187.00346244002372</v>
      </c>
      <c r="N93" s="15">
        <f t="shared" si="23"/>
        <v>187.00346244002372</v>
      </c>
      <c r="P93" s="9">
        <v>69</v>
      </c>
      <c r="Q93" s="20">
        <f t="shared" si="14"/>
        <v>0</v>
      </c>
      <c r="R93" s="20">
        <f t="shared" si="15"/>
        <v>0</v>
      </c>
      <c r="S93" s="5">
        <f t="shared" si="17"/>
        <v>0</v>
      </c>
      <c r="T93">
        <f>SUM($S$26:S94)</f>
        <v>0</v>
      </c>
    </row>
    <row r="94" spans="1:20" x14ac:dyDescent="0.2">
      <c r="A94" s="6"/>
      <c r="B94" s="7"/>
      <c r="C94" s="9" t="str">
        <f t="shared" si="18"/>
        <v/>
      </c>
      <c r="D94" s="25" t="str">
        <f t="shared" si="19"/>
        <v/>
      </c>
      <c r="E94" s="21" t="str">
        <f t="shared" si="16"/>
        <v/>
      </c>
      <c r="F94" s="21" t="str">
        <f t="shared" si="20"/>
        <v/>
      </c>
      <c r="G94" s="21" t="str">
        <f t="shared" si="21"/>
        <v/>
      </c>
      <c r="H94" s="21"/>
      <c r="J94" s="5"/>
      <c r="K94" s="29"/>
      <c r="M94" s="15">
        <f t="shared" si="22"/>
        <v>-187.00346244002372</v>
      </c>
      <c r="N94" s="15">
        <f t="shared" si="23"/>
        <v>187.00346244002372</v>
      </c>
      <c r="P94" s="9">
        <v>70</v>
      </c>
      <c r="Q94" s="20">
        <f t="shared" si="14"/>
        <v>0</v>
      </c>
      <c r="R94" s="20">
        <f t="shared" si="15"/>
        <v>0</v>
      </c>
      <c r="S94" s="5">
        <f t="shared" si="17"/>
        <v>0</v>
      </c>
      <c r="T94">
        <f>SUM($S$26:S95)</f>
        <v>0</v>
      </c>
    </row>
    <row r="95" spans="1:20" x14ac:dyDescent="0.2">
      <c r="A95" s="6"/>
      <c r="B95" s="7"/>
      <c r="C95" s="9" t="str">
        <f t="shared" si="18"/>
        <v/>
      </c>
      <c r="D95" s="25" t="str">
        <f t="shared" si="19"/>
        <v/>
      </c>
      <c r="E95" s="21" t="str">
        <f t="shared" si="16"/>
        <v/>
      </c>
      <c r="F95" s="21" t="str">
        <f t="shared" si="20"/>
        <v/>
      </c>
      <c r="G95" s="21" t="str">
        <f t="shared" si="21"/>
        <v/>
      </c>
      <c r="H95" s="21"/>
      <c r="J95" s="5"/>
      <c r="K95" s="29"/>
      <c r="M95" s="15">
        <f t="shared" si="22"/>
        <v>-187.00346244002372</v>
      </c>
      <c r="N95" s="15">
        <f t="shared" si="23"/>
        <v>187.00346244002372</v>
      </c>
      <c r="P95" s="9">
        <v>71</v>
      </c>
      <c r="Q95" s="20">
        <f t="shared" si="14"/>
        <v>0</v>
      </c>
      <c r="R95" s="20">
        <f t="shared" si="15"/>
        <v>0</v>
      </c>
      <c r="S95" s="5">
        <f t="shared" si="17"/>
        <v>0</v>
      </c>
      <c r="T95">
        <f>SUM($S$26:S96)</f>
        <v>0</v>
      </c>
    </row>
    <row r="96" spans="1:20" x14ac:dyDescent="0.2">
      <c r="A96" s="6"/>
      <c r="B96" s="7"/>
      <c r="C96" s="9" t="str">
        <f t="shared" si="18"/>
        <v/>
      </c>
      <c r="D96" s="25" t="str">
        <f t="shared" si="19"/>
        <v/>
      </c>
      <c r="E96" s="21" t="str">
        <f t="shared" si="16"/>
        <v/>
      </c>
      <c r="F96" s="21" t="str">
        <f t="shared" si="20"/>
        <v/>
      </c>
      <c r="G96" s="21" t="str">
        <f t="shared" si="21"/>
        <v/>
      </c>
      <c r="H96" s="21"/>
      <c r="J96" s="5"/>
      <c r="K96" s="29"/>
      <c r="M96" s="15">
        <f t="shared" si="22"/>
        <v>-187.00346244002372</v>
      </c>
      <c r="N96" s="15">
        <f t="shared" si="23"/>
        <v>187.00346244002372</v>
      </c>
      <c r="P96" s="9">
        <v>72</v>
      </c>
      <c r="Q96" s="20">
        <f t="shared" si="14"/>
        <v>0</v>
      </c>
      <c r="R96" s="20">
        <f t="shared" si="15"/>
        <v>0</v>
      </c>
      <c r="S96" s="5">
        <f t="shared" si="17"/>
        <v>0</v>
      </c>
      <c r="T96">
        <f>SUM($S$26:S97)</f>
        <v>0</v>
      </c>
    </row>
    <row r="97" spans="1:20" x14ac:dyDescent="0.2">
      <c r="A97" s="6"/>
      <c r="B97" s="7"/>
      <c r="C97" s="9" t="str">
        <f t="shared" si="18"/>
        <v/>
      </c>
      <c r="D97" s="25" t="str">
        <f t="shared" si="19"/>
        <v/>
      </c>
      <c r="E97" s="21" t="str">
        <f t="shared" si="16"/>
        <v/>
      </c>
      <c r="F97" s="21" t="str">
        <f t="shared" si="20"/>
        <v/>
      </c>
      <c r="G97" s="21" t="str">
        <f t="shared" si="21"/>
        <v/>
      </c>
      <c r="H97" s="21"/>
      <c r="J97" s="5"/>
      <c r="K97" s="29"/>
      <c r="M97" s="15">
        <f t="shared" si="22"/>
        <v>-187.00346244002372</v>
      </c>
      <c r="N97" s="15">
        <f t="shared" si="23"/>
        <v>187.00346244002372</v>
      </c>
      <c r="P97" s="9">
        <v>73</v>
      </c>
      <c r="Q97" s="20">
        <f t="shared" si="14"/>
        <v>0</v>
      </c>
      <c r="R97" s="20">
        <f t="shared" si="15"/>
        <v>0</v>
      </c>
      <c r="S97" s="5">
        <f t="shared" si="17"/>
        <v>0</v>
      </c>
      <c r="T97">
        <f>SUM($S$26:S98)</f>
        <v>0</v>
      </c>
    </row>
    <row r="98" spans="1:20" x14ac:dyDescent="0.2">
      <c r="A98" s="6"/>
      <c r="B98" s="7"/>
      <c r="C98" s="9" t="str">
        <f t="shared" si="18"/>
        <v/>
      </c>
      <c r="D98" s="25" t="str">
        <f t="shared" si="19"/>
        <v/>
      </c>
      <c r="E98" s="21" t="str">
        <f t="shared" si="16"/>
        <v/>
      </c>
      <c r="F98" s="21" t="str">
        <f t="shared" si="20"/>
        <v/>
      </c>
      <c r="G98" s="21" t="str">
        <f t="shared" si="21"/>
        <v/>
      </c>
      <c r="H98" s="21"/>
      <c r="J98" s="5"/>
      <c r="K98" s="29"/>
      <c r="M98" s="15">
        <f t="shared" si="22"/>
        <v>-187.00346244002372</v>
      </c>
      <c r="N98" s="15">
        <f t="shared" si="23"/>
        <v>187.00346244002372</v>
      </c>
      <c r="P98" s="9">
        <v>74</v>
      </c>
      <c r="Q98" s="20">
        <f t="shared" ref="Q98:Q120" si="24">IF(C98&gt;$C$15,0,+Q97+ABS(G98))</f>
        <v>0</v>
      </c>
      <c r="R98" s="20">
        <f t="shared" ref="R98:R120" si="25">IF(C98&gt;$C$15,0,+R97+G98^2)</f>
        <v>0</v>
      </c>
      <c r="S98" s="5">
        <f t="shared" si="17"/>
        <v>0</v>
      </c>
      <c r="T98">
        <f>SUM($S$26:S99)</f>
        <v>0</v>
      </c>
    </row>
    <row r="99" spans="1:20" x14ac:dyDescent="0.2">
      <c r="A99" s="6"/>
      <c r="B99" s="7"/>
      <c r="C99" s="9" t="str">
        <f t="shared" si="18"/>
        <v/>
      </c>
      <c r="D99" s="25" t="str">
        <f t="shared" si="19"/>
        <v/>
      </c>
      <c r="E99" s="21" t="str">
        <f t="shared" si="16"/>
        <v/>
      </c>
      <c r="F99" s="21" t="str">
        <f t="shared" si="20"/>
        <v/>
      </c>
      <c r="G99" s="21" t="str">
        <f t="shared" si="21"/>
        <v/>
      </c>
      <c r="H99" s="21"/>
      <c r="J99" s="5"/>
      <c r="K99" s="29"/>
      <c r="M99" s="15">
        <f t="shared" si="22"/>
        <v>-187.00346244002372</v>
      </c>
      <c r="N99" s="15">
        <f t="shared" si="23"/>
        <v>187.00346244002372</v>
      </c>
      <c r="P99" s="9">
        <v>75</v>
      </c>
      <c r="Q99" s="20">
        <f t="shared" si="24"/>
        <v>0</v>
      </c>
      <c r="R99" s="20">
        <f t="shared" si="25"/>
        <v>0</v>
      </c>
      <c r="S99" s="5">
        <f t="shared" si="17"/>
        <v>0</v>
      </c>
      <c r="T99">
        <f>SUM($S$26:S100)</f>
        <v>0</v>
      </c>
    </row>
    <row r="100" spans="1:20" x14ac:dyDescent="0.2">
      <c r="A100" s="6"/>
      <c r="B100" s="7"/>
      <c r="C100" s="9" t="str">
        <f t="shared" si="18"/>
        <v/>
      </c>
      <c r="D100" s="25" t="str">
        <f t="shared" si="19"/>
        <v/>
      </c>
      <c r="E100" s="21" t="str">
        <f t="shared" si="16"/>
        <v/>
      </c>
      <c r="F100" s="21" t="str">
        <f t="shared" si="20"/>
        <v/>
      </c>
      <c r="G100" s="21" t="str">
        <f t="shared" si="21"/>
        <v/>
      </c>
      <c r="H100" s="21"/>
      <c r="J100" s="5"/>
      <c r="K100" s="29"/>
      <c r="M100" s="15">
        <f t="shared" si="22"/>
        <v>-187.00346244002372</v>
      </c>
      <c r="N100" s="15">
        <f t="shared" si="23"/>
        <v>187.00346244002372</v>
      </c>
      <c r="P100" s="9">
        <v>76</v>
      </c>
      <c r="Q100" s="20">
        <f t="shared" si="24"/>
        <v>0</v>
      </c>
      <c r="R100" s="20">
        <f t="shared" si="25"/>
        <v>0</v>
      </c>
      <c r="S100" s="5">
        <f t="shared" si="17"/>
        <v>0</v>
      </c>
      <c r="T100">
        <f>SUM($S$26:S101)</f>
        <v>0</v>
      </c>
    </row>
    <row r="101" spans="1:20" x14ac:dyDescent="0.2">
      <c r="A101" s="6"/>
      <c r="B101" s="7"/>
      <c r="C101" s="9" t="str">
        <f t="shared" si="18"/>
        <v/>
      </c>
      <c r="D101" s="25" t="str">
        <f t="shared" si="19"/>
        <v/>
      </c>
      <c r="E101" s="21" t="str">
        <f t="shared" si="16"/>
        <v/>
      </c>
      <c r="F101" s="21" t="str">
        <f t="shared" si="20"/>
        <v/>
      </c>
      <c r="G101" s="21" t="str">
        <f t="shared" si="21"/>
        <v/>
      </c>
      <c r="H101" s="21"/>
      <c r="J101" s="5"/>
      <c r="K101" s="29"/>
      <c r="M101" s="15">
        <f t="shared" si="22"/>
        <v>-187.00346244002372</v>
      </c>
      <c r="N101" s="15">
        <f t="shared" si="23"/>
        <v>187.00346244002372</v>
      </c>
      <c r="P101" s="9">
        <v>77</v>
      </c>
      <c r="Q101" s="20">
        <f t="shared" si="24"/>
        <v>0</v>
      </c>
      <c r="R101" s="20">
        <f t="shared" si="25"/>
        <v>0</v>
      </c>
      <c r="S101" s="5">
        <f t="shared" si="17"/>
        <v>0</v>
      </c>
      <c r="T101">
        <f>SUM($S$26:S102)</f>
        <v>0</v>
      </c>
    </row>
    <row r="102" spans="1:20" x14ac:dyDescent="0.2">
      <c r="A102" s="6"/>
      <c r="B102" s="7"/>
      <c r="C102" s="9" t="str">
        <f t="shared" si="18"/>
        <v/>
      </c>
      <c r="D102" s="25" t="str">
        <f t="shared" si="19"/>
        <v/>
      </c>
      <c r="E102" s="21" t="str">
        <f t="shared" si="16"/>
        <v/>
      </c>
      <c r="F102" s="21" t="str">
        <f t="shared" si="20"/>
        <v/>
      </c>
      <c r="G102" s="21" t="str">
        <f t="shared" si="21"/>
        <v/>
      </c>
      <c r="H102" s="21"/>
      <c r="J102" s="5"/>
      <c r="K102" s="29"/>
      <c r="M102" s="15">
        <f t="shared" si="22"/>
        <v>-187.00346244002372</v>
      </c>
      <c r="N102" s="15">
        <f t="shared" si="23"/>
        <v>187.00346244002372</v>
      </c>
      <c r="P102" s="9">
        <v>78</v>
      </c>
      <c r="Q102" s="20">
        <f t="shared" si="24"/>
        <v>0</v>
      </c>
      <c r="R102" s="20">
        <f t="shared" si="25"/>
        <v>0</v>
      </c>
      <c r="S102" s="5">
        <f t="shared" si="17"/>
        <v>0</v>
      </c>
      <c r="T102">
        <f>SUM($S$26:S103)</f>
        <v>0</v>
      </c>
    </row>
    <row r="103" spans="1:20" x14ac:dyDescent="0.2">
      <c r="A103" s="6"/>
      <c r="B103" s="7"/>
      <c r="C103" s="9" t="str">
        <f t="shared" si="18"/>
        <v/>
      </c>
      <c r="D103" s="25" t="str">
        <f t="shared" si="19"/>
        <v/>
      </c>
      <c r="E103" s="21" t="str">
        <f t="shared" si="16"/>
        <v/>
      </c>
      <c r="F103" s="21" t="str">
        <f t="shared" si="20"/>
        <v/>
      </c>
      <c r="G103" s="21" t="str">
        <f t="shared" si="21"/>
        <v/>
      </c>
      <c r="H103" s="21"/>
      <c r="J103" s="5"/>
      <c r="K103" s="29"/>
      <c r="M103" s="15">
        <f t="shared" si="22"/>
        <v>-187.00346244002372</v>
      </c>
      <c r="N103" s="15">
        <f t="shared" si="23"/>
        <v>187.00346244002372</v>
      </c>
      <c r="P103" s="9">
        <v>79</v>
      </c>
      <c r="Q103" s="20">
        <f t="shared" si="24"/>
        <v>0</v>
      </c>
      <c r="R103" s="20">
        <f t="shared" si="25"/>
        <v>0</v>
      </c>
      <c r="S103" s="5">
        <f t="shared" si="17"/>
        <v>0</v>
      </c>
      <c r="T103">
        <f>SUM($S$26:S104)</f>
        <v>0</v>
      </c>
    </row>
    <row r="104" spans="1:20" x14ac:dyDescent="0.2">
      <c r="A104" s="6"/>
      <c r="B104" s="7"/>
      <c r="C104" s="9" t="str">
        <f t="shared" si="18"/>
        <v/>
      </c>
      <c r="D104" s="25" t="str">
        <f t="shared" si="19"/>
        <v/>
      </c>
      <c r="E104" s="21" t="str">
        <f t="shared" si="16"/>
        <v/>
      </c>
      <c r="F104" s="21" t="str">
        <f t="shared" si="20"/>
        <v/>
      </c>
      <c r="G104" s="21" t="str">
        <f t="shared" si="21"/>
        <v/>
      </c>
      <c r="H104" s="21"/>
      <c r="J104" s="5"/>
      <c r="K104" s="29"/>
      <c r="M104" s="15">
        <f t="shared" si="22"/>
        <v>-187.00346244002372</v>
      </c>
      <c r="N104" s="15">
        <f t="shared" si="23"/>
        <v>187.00346244002372</v>
      </c>
      <c r="P104" s="9">
        <v>80</v>
      </c>
      <c r="Q104" s="20">
        <f t="shared" si="24"/>
        <v>0</v>
      </c>
      <c r="R104" s="20">
        <f t="shared" si="25"/>
        <v>0</v>
      </c>
      <c r="S104" s="5">
        <f t="shared" si="17"/>
        <v>0</v>
      </c>
      <c r="T104">
        <f>SUM($S$26:S105)</f>
        <v>0</v>
      </c>
    </row>
    <row r="105" spans="1:20" x14ac:dyDescent="0.2">
      <c r="A105" s="6"/>
      <c r="B105" s="7"/>
      <c r="C105" s="9" t="str">
        <f t="shared" si="18"/>
        <v/>
      </c>
      <c r="D105" s="25" t="str">
        <f t="shared" si="19"/>
        <v/>
      </c>
      <c r="E105" s="21" t="str">
        <f t="shared" si="16"/>
        <v/>
      </c>
      <c r="F105" s="21" t="str">
        <f t="shared" si="20"/>
        <v/>
      </c>
      <c r="G105" s="21" t="str">
        <f t="shared" si="21"/>
        <v/>
      </c>
      <c r="H105" s="21"/>
      <c r="J105" s="5"/>
      <c r="K105" s="29"/>
      <c r="M105" s="15">
        <f t="shared" si="22"/>
        <v>-187.00346244002372</v>
      </c>
      <c r="N105" s="15">
        <f t="shared" si="23"/>
        <v>187.00346244002372</v>
      </c>
      <c r="P105" s="9">
        <v>81</v>
      </c>
      <c r="Q105" s="20">
        <f t="shared" si="24"/>
        <v>0</v>
      </c>
      <c r="R105" s="20">
        <f t="shared" si="25"/>
        <v>0</v>
      </c>
      <c r="S105" s="5">
        <f t="shared" si="17"/>
        <v>0</v>
      </c>
      <c r="T105">
        <f>SUM($S$26:S106)</f>
        <v>0</v>
      </c>
    </row>
    <row r="106" spans="1:20" x14ac:dyDescent="0.2">
      <c r="A106" s="6"/>
      <c r="B106" s="7"/>
      <c r="C106" s="9" t="str">
        <f t="shared" si="18"/>
        <v/>
      </c>
      <c r="D106" s="25" t="str">
        <f t="shared" si="19"/>
        <v/>
      </c>
      <c r="E106" s="21" t="str">
        <f t="shared" si="16"/>
        <v/>
      </c>
      <c r="F106" s="21" t="str">
        <f t="shared" si="20"/>
        <v/>
      </c>
      <c r="G106" s="21" t="str">
        <f t="shared" si="21"/>
        <v/>
      </c>
      <c r="H106" s="21"/>
      <c r="J106" s="5"/>
      <c r="K106" s="29"/>
      <c r="M106" s="15">
        <f t="shared" si="22"/>
        <v>-187.00346244002372</v>
      </c>
      <c r="N106" s="15">
        <f t="shared" si="23"/>
        <v>187.00346244002372</v>
      </c>
      <c r="P106" s="9">
        <v>82</v>
      </c>
      <c r="Q106" s="20">
        <f t="shared" si="24"/>
        <v>0</v>
      </c>
      <c r="R106" s="20">
        <f t="shared" si="25"/>
        <v>0</v>
      </c>
      <c r="S106" s="5">
        <f t="shared" si="17"/>
        <v>0</v>
      </c>
      <c r="T106">
        <f>SUM($S$26:S107)</f>
        <v>0</v>
      </c>
    </row>
    <row r="107" spans="1:20" x14ac:dyDescent="0.2">
      <c r="A107" s="6"/>
      <c r="B107" s="7"/>
      <c r="C107" s="9" t="str">
        <f t="shared" si="18"/>
        <v/>
      </c>
      <c r="D107" s="25" t="str">
        <f t="shared" si="19"/>
        <v/>
      </c>
      <c r="E107" s="21" t="str">
        <f t="shared" si="16"/>
        <v/>
      </c>
      <c r="F107" s="21" t="str">
        <f t="shared" si="20"/>
        <v/>
      </c>
      <c r="G107" s="21" t="str">
        <f t="shared" si="21"/>
        <v/>
      </c>
      <c r="H107" s="21"/>
      <c r="J107" s="5"/>
      <c r="K107" s="29"/>
      <c r="M107" s="15">
        <f t="shared" si="22"/>
        <v>-187.00346244002372</v>
      </c>
      <c r="N107" s="15">
        <f t="shared" si="23"/>
        <v>187.00346244002372</v>
      </c>
      <c r="P107" s="9">
        <v>83</v>
      </c>
      <c r="Q107" s="20">
        <f t="shared" si="24"/>
        <v>0</v>
      </c>
      <c r="R107" s="20">
        <f t="shared" si="25"/>
        <v>0</v>
      </c>
      <c r="S107" s="5">
        <f t="shared" si="17"/>
        <v>0</v>
      </c>
      <c r="T107">
        <f>SUM($S$26:S108)</f>
        <v>0</v>
      </c>
    </row>
    <row r="108" spans="1:20" x14ac:dyDescent="0.2">
      <c r="A108" s="6"/>
      <c r="B108" s="7"/>
      <c r="C108" s="9" t="str">
        <f t="shared" si="18"/>
        <v/>
      </c>
      <c r="D108" s="25" t="str">
        <f t="shared" si="19"/>
        <v/>
      </c>
      <c r="E108" s="21" t="str">
        <f t="shared" si="16"/>
        <v/>
      </c>
      <c r="F108" s="21" t="str">
        <f t="shared" si="20"/>
        <v/>
      </c>
      <c r="G108" s="21" t="str">
        <f t="shared" si="21"/>
        <v/>
      </c>
      <c r="H108" s="21"/>
      <c r="J108" s="5"/>
      <c r="K108" s="29"/>
      <c r="M108" s="15">
        <f t="shared" si="22"/>
        <v>-187.00346244002372</v>
      </c>
      <c r="N108" s="15">
        <f t="shared" si="23"/>
        <v>187.00346244002372</v>
      </c>
      <c r="P108" s="9">
        <v>84</v>
      </c>
      <c r="Q108" s="20">
        <f t="shared" si="24"/>
        <v>0</v>
      </c>
      <c r="R108" s="20">
        <f t="shared" si="25"/>
        <v>0</v>
      </c>
      <c r="S108" s="5">
        <f t="shared" si="17"/>
        <v>0</v>
      </c>
      <c r="T108">
        <f>SUM($S$26:S109)</f>
        <v>0</v>
      </c>
    </row>
    <row r="109" spans="1:20" x14ac:dyDescent="0.2">
      <c r="A109" s="6"/>
      <c r="B109" s="7"/>
      <c r="C109" s="9" t="str">
        <f t="shared" si="18"/>
        <v/>
      </c>
      <c r="D109" s="25" t="str">
        <f t="shared" si="19"/>
        <v/>
      </c>
      <c r="E109" s="21" t="str">
        <f t="shared" si="16"/>
        <v/>
      </c>
      <c r="F109" s="21" t="str">
        <f t="shared" si="20"/>
        <v/>
      </c>
      <c r="G109" s="21" t="str">
        <f t="shared" si="21"/>
        <v/>
      </c>
      <c r="H109" s="21"/>
      <c r="J109" s="5"/>
      <c r="K109" s="29"/>
      <c r="M109" s="15">
        <f t="shared" si="22"/>
        <v>-187.00346244002372</v>
      </c>
      <c r="N109" s="15">
        <f t="shared" si="23"/>
        <v>187.00346244002372</v>
      </c>
      <c r="P109" s="9">
        <v>85</v>
      </c>
      <c r="Q109" s="20">
        <f t="shared" si="24"/>
        <v>0</v>
      </c>
      <c r="R109" s="20">
        <f t="shared" si="25"/>
        <v>0</v>
      </c>
      <c r="S109" s="5">
        <f t="shared" si="17"/>
        <v>0</v>
      </c>
      <c r="T109">
        <f>SUM($S$26:S110)</f>
        <v>0</v>
      </c>
    </row>
    <row r="110" spans="1:20" x14ac:dyDescent="0.2">
      <c r="A110" s="6"/>
      <c r="B110" s="7"/>
      <c r="C110" s="9" t="str">
        <f>IF(A110="","",A110)</f>
        <v/>
      </c>
      <c r="D110" s="25" t="str">
        <f t="shared" si="19"/>
        <v/>
      </c>
      <c r="E110" s="21" t="str">
        <f t="shared" si="16"/>
        <v/>
      </c>
      <c r="F110" s="21" t="str">
        <f t="shared" si="20"/>
        <v/>
      </c>
      <c r="G110" s="21" t="str">
        <f t="shared" si="21"/>
        <v/>
      </c>
      <c r="H110" s="21"/>
      <c r="J110" s="5"/>
      <c r="K110" s="29"/>
      <c r="M110" s="15">
        <f t="shared" si="22"/>
        <v>-187.00346244002372</v>
      </c>
      <c r="N110" s="15">
        <f t="shared" si="23"/>
        <v>187.00346244002372</v>
      </c>
      <c r="P110" s="9">
        <v>86</v>
      </c>
      <c r="Q110" s="20">
        <f t="shared" si="24"/>
        <v>0</v>
      </c>
      <c r="R110" s="20">
        <f t="shared" si="25"/>
        <v>0</v>
      </c>
      <c r="S110" s="5">
        <f t="shared" si="17"/>
        <v>0</v>
      </c>
      <c r="T110">
        <f>SUM($S$26:S111)</f>
        <v>0</v>
      </c>
    </row>
    <row r="111" spans="1:20" x14ac:dyDescent="0.2">
      <c r="A111" s="6"/>
      <c r="B111" s="7"/>
      <c r="C111" s="9" t="str">
        <f t="shared" ref="C111:C120" si="26">IF(A111="","",A111)</f>
        <v/>
      </c>
      <c r="D111" s="25" t="str">
        <f t="shared" si="19"/>
        <v/>
      </c>
      <c r="E111" s="21" t="str">
        <f t="shared" si="16"/>
        <v/>
      </c>
      <c r="F111" s="21" t="str">
        <f t="shared" si="20"/>
        <v/>
      </c>
      <c r="G111" s="21" t="str">
        <f t="shared" si="21"/>
        <v/>
      </c>
      <c r="H111" s="21"/>
      <c r="J111" s="5"/>
      <c r="K111" s="29"/>
      <c r="M111" s="15">
        <f t="shared" si="22"/>
        <v>-187.00346244002372</v>
      </c>
      <c r="N111" s="15">
        <f t="shared" si="23"/>
        <v>187.00346244002372</v>
      </c>
      <c r="P111" s="9">
        <v>87</v>
      </c>
      <c r="Q111" s="20">
        <f t="shared" si="24"/>
        <v>0</v>
      </c>
      <c r="R111" s="20">
        <f t="shared" si="25"/>
        <v>0</v>
      </c>
      <c r="S111" s="5">
        <f t="shared" si="17"/>
        <v>0</v>
      </c>
      <c r="T111">
        <f>SUM($S$26:S112)</f>
        <v>0</v>
      </c>
    </row>
    <row r="112" spans="1:20" x14ac:dyDescent="0.2">
      <c r="A112" s="6"/>
      <c r="B112" s="7"/>
      <c r="C112" s="9" t="str">
        <f t="shared" si="26"/>
        <v/>
      </c>
      <c r="D112" s="25" t="str">
        <f t="shared" si="19"/>
        <v/>
      </c>
      <c r="E112" s="21" t="str">
        <f t="shared" si="16"/>
        <v/>
      </c>
      <c r="F112" s="21" t="str">
        <f t="shared" si="20"/>
        <v/>
      </c>
      <c r="G112" s="21" t="str">
        <f t="shared" si="21"/>
        <v/>
      </c>
      <c r="H112" s="21"/>
      <c r="J112" s="5"/>
      <c r="K112" s="29"/>
      <c r="M112" s="15">
        <f t="shared" si="22"/>
        <v>-187.00346244002372</v>
      </c>
      <c r="N112" s="15">
        <f t="shared" si="23"/>
        <v>187.00346244002372</v>
      </c>
      <c r="P112" s="9">
        <v>88</v>
      </c>
      <c r="Q112" s="20">
        <f t="shared" si="24"/>
        <v>0</v>
      </c>
      <c r="R112" s="20">
        <f t="shared" si="25"/>
        <v>0</v>
      </c>
      <c r="S112" s="5">
        <f t="shared" si="17"/>
        <v>0</v>
      </c>
      <c r="T112">
        <f>SUM($S$26:S113)</f>
        <v>0</v>
      </c>
    </row>
    <row r="113" spans="1:20" x14ac:dyDescent="0.2">
      <c r="A113" s="6"/>
      <c r="B113" s="7"/>
      <c r="C113" s="9" t="str">
        <f t="shared" si="26"/>
        <v/>
      </c>
      <c r="D113" s="25" t="str">
        <f t="shared" si="19"/>
        <v/>
      </c>
      <c r="E113" s="21" t="str">
        <f t="shared" si="16"/>
        <v/>
      </c>
      <c r="F113" s="21" t="str">
        <f t="shared" si="20"/>
        <v/>
      </c>
      <c r="G113" s="21" t="str">
        <f>IF(A113="","",IF(B113="",NA(),F113^2))</f>
        <v/>
      </c>
      <c r="H113" s="21"/>
      <c r="J113" s="5"/>
      <c r="K113" s="29"/>
      <c r="M113" s="15">
        <f t="shared" si="22"/>
        <v>-187.00346244002372</v>
      </c>
      <c r="N113" s="15">
        <f t="shared" si="23"/>
        <v>187.00346244002372</v>
      </c>
      <c r="P113" s="9">
        <v>89</v>
      </c>
      <c r="Q113" s="20">
        <f t="shared" si="24"/>
        <v>0</v>
      </c>
      <c r="R113" s="20">
        <f t="shared" si="25"/>
        <v>0</v>
      </c>
      <c r="S113" s="5">
        <f t="shared" si="17"/>
        <v>0</v>
      </c>
      <c r="T113">
        <f>SUM($S$26:S114)</f>
        <v>0</v>
      </c>
    </row>
    <row r="114" spans="1:20" x14ac:dyDescent="0.2">
      <c r="A114" s="6"/>
      <c r="B114" s="7"/>
      <c r="C114" s="9" t="str">
        <f t="shared" si="26"/>
        <v/>
      </c>
      <c r="D114" s="25" t="str">
        <f t="shared" si="19"/>
        <v/>
      </c>
      <c r="E114" s="21" t="str">
        <f t="shared" si="16"/>
        <v/>
      </c>
      <c r="F114" s="21" t="str">
        <f t="shared" si="20"/>
        <v/>
      </c>
      <c r="G114" s="21" t="str">
        <f t="shared" ref="G114:G120" si="27">IF(A114="","",IF(B114="",NA(),F114^2))</f>
        <v/>
      </c>
      <c r="H114" s="21"/>
      <c r="J114" s="5"/>
      <c r="K114" s="29"/>
      <c r="M114" s="15">
        <f t="shared" si="22"/>
        <v>-187.00346244002372</v>
      </c>
      <c r="N114" s="15">
        <f t="shared" si="23"/>
        <v>187.00346244002372</v>
      </c>
      <c r="P114" s="9">
        <v>90</v>
      </c>
      <c r="Q114" s="20">
        <f t="shared" si="24"/>
        <v>0</v>
      </c>
      <c r="R114" s="20">
        <f t="shared" si="25"/>
        <v>0</v>
      </c>
      <c r="S114" s="5">
        <f t="shared" si="17"/>
        <v>0</v>
      </c>
      <c r="T114">
        <f>SUM($S$26:S115)</f>
        <v>0</v>
      </c>
    </row>
    <row r="115" spans="1:20" x14ac:dyDescent="0.2">
      <c r="A115" s="6"/>
      <c r="B115" s="7"/>
      <c r="C115" s="9" t="str">
        <f t="shared" si="26"/>
        <v/>
      </c>
      <c r="D115" s="25" t="str">
        <f t="shared" si="19"/>
        <v/>
      </c>
      <c r="E115" s="21" t="str">
        <f t="shared" si="16"/>
        <v/>
      </c>
      <c r="F115" s="21" t="str">
        <f t="shared" si="20"/>
        <v/>
      </c>
      <c r="G115" s="21" t="str">
        <f t="shared" si="27"/>
        <v/>
      </c>
      <c r="H115" s="21"/>
      <c r="J115" s="5"/>
      <c r="K115" s="29"/>
      <c r="M115" s="15">
        <f t="shared" si="22"/>
        <v>-187.00346244002372</v>
      </c>
      <c r="N115" s="15">
        <f t="shared" si="23"/>
        <v>187.00346244002372</v>
      </c>
      <c r="P115" s="9">
        <v>91</v>
      </c>
      <c r="Q115" s="20">
        <f t="shared" si="24"/>
        <v>0</v>
      </c>
      <c r="R115" s="20">
        <f t="shared" si="25"/>
        <v>0</v>
      </c>
      <c r="S115" s="5">
        <f t="shared" si="17"/>
        <v>0</v>
      </c>
      <c r="T115">
        <f>SUM($S$26:S116)</f>
        <v>0</v>
      </c>
    </row>
    <row r="116" spans="1:20" x14ac:dyDescent="0.2">
      <c r="A116" s="6"/>
      <c r="B116" s="7"/>
      <c r="C116" s="9" t="str">
        <f t="shared" si="26"/>
        <v/>
      </c>
      <c r="D116" s="25" t="str">
        <f t="shared" si="19"/>
        <v/>
      </c>
      <c r="E116" s="21" t="str">
        <f t="shared" si="16"/>
        <v/>
      </c>
      <c r="F116" s="21" t="str">
        <f t="shared" si="20"/>
        <v/>
      </c>
      <c r="G116" s="21" t="str">
        <f t="shared" si="27"/>
        <v/>
      </c>
      <c r="H116" s="21"/>
      <c r="J116" s="5"/>
      <c r="K116" s="29"/>
      <c r="M116" s="15">
        <f t="shared" si="22"/>
        <v>-187.00346244002372</v>
      </c>
      <c r="N116" s="15">
        <f t="shared" si="23"/>
        <v>187.00346244002372</v>
      </c>
      <c r="P116" s="9">
        <v>92</v>
      </c>
      <c r="Q116" s="20">
        <f t="shared" si="24"/>
        <v>0</v>
      </c>
      <c r="R116" s="20">
        <f t="shared" si="25"/>
        <v>0</v>
      </c>
      <c r="S116" s="5">
        <f t="shared" si="17"/>
        <v>0</v>
      </c>
      <c r="T116">
        <f>SUM($S$26:S117)</f>
        <v>0</v>
      </c>
    </row>
    <row r="117" spans="1:20" x14ac:dyDescent="0.2">
      <c r="A117" s="6"/>
      <c r="B117" s="7"/>
      <c r="C117" s="9" t="str">
        <f t="shared" si="26"/>
        <v/>
      </c>
      <c r="D117" s="25" t="str">
        <f t="shared" si="19"/>
        <v/>
      </c>
      <c r="E117" s="21" t="str">
        <f t="shared" si="16"/>
        <v/>
      </c>
      <c r="F117" s="21" t="str">
        <f t="shared" si="20"/>
        <v/>
      </c>
      <c r="G117" s="21" t="str">
        <f t="shared" si="27"/>
        <v/>
      </c>
      <c r="H117" s="21"/>
      <c r="J117" s="5"/>
      <c r="K117" s="29"/>
      <c r="M117" s="15">
        <f t="shared" si="22"/>
        <v>-187.00346244002372</v>
      </c>
      <c r="N117" s="15">
        <f t="shared" si="23"/>
        <v>187.00346244002372</v>
      </c>
      <c r="P117" s="9">
        <v>93</v>
      </c>
      <c r="Q117" s="20">
        <f t="shared" si="24"/>
        <v>0</v>
      </c>
      <c r="R117" s="20">
        <f t="shared" si="25"/>
        <v>0</v>
      </c>
      <c r="S117" s="5">
        <f t="shared" si="17"/>
        <v>0</v>
      </c>
      <c r="T117">
        <f>SUM($S$26:S118)</f>
        <v>0</v>
      </c>
    </row>
    <row r="118" spans="1:20" x14ac:dyDescent="0.2">
      <c r="A118" s="6"/>
      <c r="B118" s="7"/>
      <c r="C118" s="9" t="str">
        <f t="shared" si="26"/>
        <v/>
      </c>
      <c r="D118" s="25" t="str">
        <f t="shared" si="19"/>
        <v/>
      </c>
      <c r="E118" s="21" t="str">
        <f t="shared" si="16"/>
        <v/>
      </c>
      <c r="F118" s="21" t="str">
        <f t="shared" si="20"/>
        <v/>
      </c>
      <c r="G118" s="21" t="str">
        <f t="shared" si="27"/>
        <v/>
      </c>
      <c r="H118" s="21"/>
      <c r="J118" s="5"/>
      <c r="K118" s="29"/>
      <c r="M118" s="15">
        <f t="shared" si="22"/>
        <v>-187.00346244002372</v>
      </c>
      <c r="N118" s="15">
        <f t="shared" si="23"/>
        <v>187.00346244002372</v>
      </c>
      <c r="P118" s="9">
        <v>94</v>
      </c>
      <c r="Q118" s="20">
        <f t="shared" si="24"/>
        <v>0</v>
      </c>
      <c r="R118" s="20">
        <f t="shared" si="25"/>
        <v>0</v>
      </c>
      <c r="S118" s="5">
        <f t="shared" si="17"/>
        <v>0</v>
      </c>
      <c r="T118">
        <f>SUM($S$26:S119)</f>
        <v>0</v>
      </c>
    </row>
    <row r="119" spans="1:20" x14ac:dyDescent="0.2">
      <c r="A119" s="6"/>
      <c r="B119" s="7"/>
      <c r="C119" s="9" t="str">
        <f t="shared" si="26"/>
        <v/>
      </c>
      <c r="D119" s="25" t="str">
        <f t="shared" si="19"/>
        <v/>
      </c>
      <c r="E119" s="21" t="str">
        <f t="shared" si="16"/>
        <v/>
      </c>
      <c r="F119" s="21" t="str">
        <f t="shared" si="20"/>
        <v/>
      </c>
      <c r="G119" s="21" t="str">
        <f t="shared" si="27"/>
        <v/>
      </c>
      <c r="H119" s="21"/>
      <c r="J119" s="11"/>
      <c r="K119" s="30"/>
      <c r="M119" s="15">
        <f t="shared" si="22"/>
        <v>-187.00346244002372</v>
      </c>
      <c r="N119" s="15">
        <f t="shared" si="23"/>
        <v>187.00346244002372</v>
      </c>
      <c r="P119" s="9">
        <v>95</v>
      </c>
      <c r="Q119" s="20">
        <f t="shared" si="24"/>
        <v>0</v>
      </c>
      <c r="R119" s="20">
        <f t="shared" si="25"/>
        <v>0</v>
      </c>
      <c r="S119" s="5">
        <f t="shared" si="17"/>
        <v>0</v>
      </c>
      <c r="T119">
        <f>SUM($S$26:S120)</f>
        <v>0</v>
      </c>
    </row>
    <row r="120" spans="1:20" x14ac:dyDescent="0.2">
      <c r="A120" s="6"/>
      <c r="B120" s="7"/>
      <c r="C120" s="9" t="str">
        <f t="shared" si="26"/>
        <v/>
      </c>
      <c r="D120" s="25" t="str">
        <f t="shared" si="19"/>
        <v/>
      </c>
      <c r="E120" s="21" t="str">
        <f t="shared" si="16"/>
        <v/>
      </c>
      <c r="F120" s="21" t="str">
        <f t="shared" si="20"/>
        <v/>
      </c>
      <c r="G120" s="21" t="str">
        <f t="shared" si="27"/>
        <v/>
      </c>
      <c r="H120" s="21"/>
      <c r="J120" s="11"/>
      <c r="K120" s="30"/>
      <c r="M120" s="15">
        <f t="shared" si="22"/>
        <v>-187.00346244002372</v>
      </c>
      <c r="N120" s="15">
        <f t="shared" si="23"/>
        <v>187.00346244002372</v>
      </c>
      <c r="P120" s="9">
        <v>96</v>
      </c>
      <c r="Q120" s="20">
        <f t="shared" si="24"/>
        <v>0</v>
      </c>
      <c r="R120" s="20">
        <f t="shared" si="25"/>
        <v>0</v>
      </c>
      <c r="S120" s="5">
        <f t="shared" si="17"/>
        <v>0</v>
      </c>
      <c r="T120">
        <f>SUM($S$26:S121)</f>
        <v>0</v>
      </c>
    </row>
    <row r="121" spans="1:20" x14ac:dyDescent="0.2">
      <c r="D121" s="21"/>
      <c r="E121" s="21"/>
      <c r="G121" s="21"/>
      <c r="J121" s="11"/>
      <c r="K121" s="30"/>
      <c r="N121" s="11"/>
      <c r="O121" s="11"/>
    </row>
    <row r="122" spans="1:20" x14ac:dyDescent="0.2">
      <c r="D122" s="21"/>
      <c r="E122" s="21"/>
      <c r="G122" s="21"/>
      <c r="J122" s="11"/>
      <c r="K122" s="30"/>
      <c r="N122" s="11"/>
      <c r="O122" s="11"/>
    </row>
    <row r="123" spans="1:20" x14ac:dyDescent="0.2">
      <c r="D123" s="21"/>
      <c r="E123" s="21"/>
      <c r="G123" s="21"/>
      <c r="J123" s="11"/>
      <c r="K123" s="30"/>
      <c r="N123" s="11"/>
      <c r="O123" s="11"/>
    </row>
    <row r="124" spans="1:20" x14ac:dyDescent="0.2">
      <c r="D124" s="21"/>
      <c r="E124" s="21"/>
      <c r="G124" s="21"/>
      <c r="J124" s="11"/>
      <c r="K124" s="30"/>
      <c r="N124" s="11"/>
      <c r="O124" s="11"/>
    </row>
    <row r="125" spans="1:20" x14ac:dyDescent="0.2">
      <c r="D125" s="21"/>
      <c r="E125" s="21"/>
      <c r="G125" s="21"/>
      <c r="J125" s="11"/>
      <c r="K125" s="30"/>
      <c r="N125" s="11"/>
      <c r="O125" s="11"/>
    </row>
    <row r="126" spans="1:20" x14ac:dyDescent="0.2">
      <c r="D126" s="21"/>
      <c r="E126" s="21"/>
      <c r="G126" s="21"/>
      <c r="J126" s="11"/>
      <c r="K126" s="30"/>
      <c r="N126" s="11"/>
      <c r="O126" s="11"/>
    </row>
    <row r="127" spans="1:20" x14ac:dyDescent="0.2">
      <c r="D127" s="21"/>
      <c r="E127" s="21"/>
      <c r="G127" s="21"/>
      <c r="J127" s="11"/>
      <c r="K127" s="30"/>
      <c r="N127" s="11"/>
      <c r="O127" s="11"/>
    </row>
    <row r="128" spans="1:20" x14ac:dyDescent="0.2">
      <c r="D128" s="21"/>
      <c r="E128" s="21"/>
      <c r="G128" s="21"/>
      <c r="J128" s="11"/>
      <c r="K128" s="30"/>
      <c r="N128" s="11"/>
      <c r="O128" s="11"/>
    </row>
    <row r="129" spans="4:15" x14ac:dyDescent="0.2">
      <c r="D129" s="21"/>
      <c r="E129" s="21"/>
      <c r="G129" s="21"/>
      <c r="J129" s="11"/>
      <c r="K129" s="30"/>
      <c r="N129" s="11"/>
      <c r="O129" s="11"/>
    </row>
    <row r="130" spans="4:15" x14ac:dyDescent="0.2">
      <c r="D130" s="21"/>
      <c r="E130" s="21"/>
      <c r="G130" s="21"/>
      <c r="J130" s="11"/>
      <c r="K130" s="30"/>
      <c r="N130" s="11"/>
      <c r="O130" s="11"/>
    </row>
    <row r="131" spans="4:15" x14ac:dyDescent="0.2">
      <c r="D131" s="21"/>
      <c r="E131" s="21"/>
      <c r="G131" s="21"/>
      <c r="J131" s="11"/>
      <c r="K131" s="30"/>
      <c r="N131" s="11"/>
      <c r="O131" s="11"/>
    </row>
    <row r="132" spans="4:15" x14ac:dyDescent="0.2">
      <c r="D132" s="21"/>
      <c r="E132" s="21"/>
      <c r="G132" s="21"/>
      <c r="J132" s="11"/>
      <c r="K132" s="30"/>
      <c r="N132" s="11"/>
      <c r="O132" s="11"/>
    </row>
    <row r="133" spans="4:15" x14ac:dyDescent="0.2">
      <c r="D133" s="21"/>
      <c r="E133" s="21"/>
      <c r="F133" s="21"/>
      <c r="J133" s="11"/>
      <c r="K133" s="30"/>
      <c r="N133" s="11"/>
      <c r="O133" s="11"/>
    </row>
    <row r="134" spans="4:15" x14ac:dyDescent="0.2">
      <c r="D134" s="21"/>
      <c r="E134" s="21"/>
      <c r="F134" s="21"/>
      <c r="J134" s="11"/>
      <c r="K134" s="30"/>
      <c r="N134" s="11"/>
      <c r="O134" s="11"/>
    </row>
    <row r="135" spans="4:15" x14ac:dyDescent="0.2">
      <c r="D135" s="21"/>
      <c r="E135" s="21"/>
      <c r="F135" s="21"/>
      <c r="J135" s="11"/>
      <c r="K135" s="30"/>
      <c r="N135" s="11"/>
      <c r="O135" s="11"/>
    </row>
    <row r="136" spans="4:15" x14ac:dyDescent="0.2">
      <c r="D136" s="21"/>
      <c r="E136" s="21"/>
      <c r="F136" s="21"/>
      <c r="J136" s="3"/>
      <c r="K136" s="31"/>
      <c r="N136" s="11"/>
      <c r="O136" s="11"/>
    </row>
    <row r="137" spans="4:15" x14ac:dyDescent="0.2">
      <c r="D137" s="21"/>
      <c r="E137" s="21"/>
      <c r="F137" s="21"/>
      <c r="J137" s="3"/>
      <c r="K137" s="31"/>
      <c r="N137" s="3"/>
      <c r="O137" s="3"/>
    </row>
    <row r="138" spans="4:15" x14ac:dyDescent="0.2">
      <c r="D138" s="21"/>
      <c r="E138" s="21"/>
      <c r="F138" s="21"/>
      <c r="J138" s="3"/>
      <c r="K138" s="31"/>
      <c r="N138" s="3"/>
      <c r="O138" s="3"/>
    </row>
    <row r="139" spans="4:15" x14ac:dyDescent="0.2">
      <c r="D139" s="21"/>
      <c r="E139" s="21"/>
      <c r="F139" s="21"/>
      <c r="J139" s="3"/>
      <c r="K139" s="31"/>
      <c r="N139" s="3"/>
      <c r="O139" s="3"/>
    </row>
    <row r="140" spans="4:15" x14ac:dyDescent="0.2">
      <c r="D140" s="21"/>
      <c r="E140" s="21"/>
      <c r="F140" s="21"/>
      <c r="J140" s="3"/>
      <c r="K140" s="31"/>
      <c r="N140" s="3"/>
      <c r="O140" s="3"/>
    </row>
    <row r="141" spans="4:15" x14ac:dyDescent="0.2">
      <c r="D141" s="21"/>
      <c r="E141" s="21"/>
      <c r="F141" s="21"/>
      <c r="J141" s="3"/>
      <c r="K141" s="31"/>
      <c r="N141" s="3"/>
      <c r="O141" s="3"/>
    </row>
    <row r="142" spans="4:15" x14ac:dyDescent="0.2">
      <c r="D142" s="21"/>
      <c r="E142" s="21"/>
      <c r="F142" s="21"/>
      <c r="J142" s="3"/>
      <c r="K142" s="31"/>
      <c r="N142" s="3"/>
      <c r="O142" s="3"/>
    </row>
    <row r="143" spans="4:15" x14ac:dyDescent="0.2">
      <c r="D143" s="21"/>
      <c r="E143" s="21"/>
      <c r="F143" s="21"/>
      <c r="J143" s="3"/>
      <c r="K143" s="31"/>
      <c r="N143" s="3"/>
      <c r="O143" s="3"/>
    </row>
    <row r="144" spans="4:15" x14ac:dyDescent="0.2">
      <c r="D144" s="21"/>
      <c r="E144" s="21"/>
      <c r="F144" s="21"/>
      <c r="J144" s="3"/>
      <c r="K144" s="31"/>
      <c r="N144" s="3"/>
      <c r="O144" s="3"/>
    </row>
    <row r="145" spans="4:15" x14ac:dyDescent="0.2">
      <c r="D145" s="21"/>
      <c r="E145" s="21"/>
      <c r="F145" s="21"/>
      <c r="J145" s="3"/>
      <c r="K145" s="31"/>
      <c r="N145" s="3"/>
      <c r="O145" s="3"/>
    </row>
    <row r="146" spans="4:15" x14ac:dyDescent="0.2">
      <c r="D146" s="21"/>
      <c r="E146" s="21"/>
      <c r="F146" s="21"/>
      <c r="J146" s="3"/>
      <c r="K146" s="31"/>
      <c r="N146" s="3"/>
      <c r="O146" s="3"/>
    </row>
    <row r="147" spans="4:15" x14ac:dyDescent="0.2">
      <c r="D147" s="21"/>
      <c r="E147" s="21"/>
      <c r="F147" s="21"/>
      <c r="J147" s="3"/>
      <c r="K147" s="31"/>
      <c r="N147" s="3"/>
      <c r="O147" s="3"/>
    </row>
    <row r="148" spans="4:15" x14ac:dyDescent="0.2">
      <c r="D148" s="21"/>
      <c r="E148" s="21"/>
      <c r="F148" s="21"/>
      <c r="J148" s="3"/>
      <c r="K148" s="31"/>
      <c r="N148" s="3"/>
      <c r="O148" s="3"/>
    </row>
    <row r="149" spans="4:15" x14ac:dyDescent="0.2">
      <c r="D149" s="21"/>
      <c r="E149" s="21"/>
      <c r="F149" s="21"/>
      <c r="J149" s="3"/>
      <c r="K149" s="31"/>
      <c r="N149" s="3"/>
      <c r="O149" s="3"/>
    </row>
    <row r="150" spans="4:15" x14ac:dyDescent="0.2">
      <c r="D150" s="21"/>
      <c r="E150" s="21"/>
      <c r="F150" s="21"/>
      <c r="J150" s="3"/>
      <c r="K150" s="31"/>
      <c r="N150" s="3"/>
      <c r="O150" s="3"/>
    </row>
    <row r="151" spans="4:15" x14ac:dyDescent="0.2">
      <c r="D151" s="21"/>
      <c r="E151" s="21"/>
      <c r="F151" s="21"/>
      <c r="J151" s="3"/>
      <c r="K151" s="31"/>
      <c r="N151" s="3"/>
      <c r="O151" s="3"/>
    </row>
    <row r="152" spans="4:15" x14ac:dyDescent="0.2">
      <c r="D152" s="21"/>
      <c r="E152" s="21"/>
      <c r="F152" s="21"/>
      <c r="H152" s="3"/>
      <c r="I152" s="3"/>
      <c r="J152" s="3"/>
      <c r="K152" s="31"/>
      <c r="N152" s="3"/>
      <c r="O152" s="3"/>
    </row>
    <row r="153" spans="4:15" x14ac:dyDescent="0.2">
      <c r="D153" s="21"/>
      <c r="E153" s="21"/>
      <c r="F153" s="21"/>
      <c r="H153" s="3"/>
      <c r="I153" s="3"/>
      <c r="J153" s="3"/>
      <c r="K153" s="31"/>
      <c r="M153" s="3"/>
      <c r="N153" s="3"/>
      <c r="O153" s="3"/>
    </row>
    <row r="154" spans="4:15" x14ac:dyDescent="0.2">
      <c r="D154" s="21"/>
      <c r="E154" s="21"/>
      <c r="F154" s="21"/>
      <c r="H154" s="3"/>
      <c r="I154" s="3"/>
      <c r="J154" s="3"/>
      <c r="K154" s="31"/>
      <c r="M154" s="3"/>
      <c r="N154" s="3"/>
      <c r="O154" s="3"/>
    </row>
    <row r="155" spans="4:15" x14ac:dyDescent="0.2">
      <c r="D155" s="21"/>
      <c r="E155" s="21"/>
      <c r="F155" s="21"/>
    </row>
    <row r="156" spans="4:15" x14ac:dyDescent="0.2">
      <c r="D156" s="21"/>
      <c r="E156" s="21"/>
      <c r="F156" s="21"/>
    </row>
    <row r="157" spans="4:15" x14ac:dyDescent="0.2">
      <c r="D157" s="21"/>
      <c r="E157" s="21"/>
      <c r="F157" s="21"/>
    </row>
    <row r="158" spans="4:15" x14ac:dyDescent="0.2">
      <c r="D158" s="21"/>
      <c r="E158" s="21"/>
      <c r="F158" s="21"/>
    </row>
    <row r="159" spans="4:15" x14ac:dyDescent="0.2">
      <c r="D159" s="21"/>
      <c r="E159" s="21"/>
      <c r="F159" s="21"/>
    </row>
    <row r="160" spans="4:15" x14ac:dyDescent="0.2">
      <c r="D160" s="21"/>
      <c r="E160" s="21"/>
      <c r="F160" s="21"/>
    </row>
    <row r="161" spans="4:6" x14ac:dyDescent="0.2">
      <c r="D161" s="21"/>
      <c r="E161" s="21"/>
      <c r="F161" s="21"/>
    </row>
    <row r="162" spans="4:6" x14ac:dyDescent="0.2">
      <c r="D162" s="21"/>
      <c r="E162" s="21"/>
      <c r="F162" s="21"/>
    </row>
    <row r="163" spans="4:6" x14ac:dyDescent="0.2">
      <c r="D163" s="21"/>
      <c r="E163" s="21"/>
      <c r="F163" s="21"/>
    </row>
    <row r="164" spans="4:6" x14ac:dyDescent="0.2">
      <c r="D164" s="21"/>
      <c r="E164" s="21"/>
      <c r="F164" s="21"/>
    </row>
    <row r="165" spans="4:6" x14ac:dyDescent="0.2">
      <c r="D165" s="21"/>
      <c r="E165" s="21"/>
      <c r="F165" s="21"/>
    </row>
    <row r="166" spans="4:6" x14ac:dyDescent="0.2">
      <c r="D166" s="21"/>
      <c r="E166" s="21"/>
      <c r="F166" s="21"/>
    </row>
    <row r="167" spans="4:6" x14ac:dyDescent="0.2">
      <c r="D167" s="21"/>
      <c r="E167" s="21"/>
      <c r="F167" s="21"/>
    </row>
    <row r="168" spans="4:6" x14ac:dyDescent="0.2">
      <c r="D168" s="21"/>
      <c r="E168" s="21"/>
      <c r="F168" s="21"/>
    </row>
    <row r="169" spans="4:6" x14ac:dyDescent="0.2">
      <c r="D169" s="21"/>
      <c r="E169" s="21"/>
      <c r="F169" s="21"/>
    </row>
    <row r="170" spans="4:6" x14ac:dyDescent="0.2">
      <c r="D170" s="21"/>
      <c r="E170" s="21"/>
      <c r="F170" s="21"/>
    </row>
    <row r="171" spans="4:6" x14ac:dyDescent="0.2">
      <c r="D171" s="21"/>
      <c r="E171" s="21"/>
      <c r="F171" s="21"/>
    </row>
    <row r="172" spans="4:6" x14ac:dyDescent="0.2">
      <c r="D172" s="21"/>
      <c r="E172" s="21"/>
      <c r="F172" s="21"/>
    </row>
    <row r="173" spans="4:6" x14ac:dyDescent="0.2">
      <c r="D173" s="21"/>
      <c r="E173" s="21"/>
      <c r="F173" s="21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</sheetData>
  <mergeCells count="3">
    <mergeCell ref="M23:N23"/>
    <mergeCell ref="C23:D23"/>
    <mergeCell ref="B22:D22"/>
  </mergeCells>
  <phoneticPr fontId="9" type="noConversion"/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F4B6-7773-43AE-83B3-77DEFB9C1824}">
  <sheetPr>
    <pageSetUpPr fitToPage="1"/>
  </sheetPr>
  <dimension ref="A1:I625"/>
  <sheetViews>
    <sheetView tabSelected="1" zoomScaleNormal="100" workbookViewId="0">
      <selection activeCell="U9" sqref="U9"/>
    </sheetView>
  </sheetViews>
  <sheetFormatPr baseColWidth="10" defaultRowHeight="12.75" x14ac:dyDescent="0.2"/>
  <cols>
    <col min="1" max="1" width="13.42578125" customWidth="1"/>
    <col min="2" max="2" width="12.7109375" customWidth="1"/>
    <col min="3" max="3" width="14.7109375" customWidth="1"/>
    <col min="4" max="4" width="13.42578125" customWidth="1"/>
    <col min="5" max="5" width="15.7109375" customWidth="1"/>
    <col min="6" max="6" width="12.85546875" customWidth="1"/>
    <col min="7" max="7" width="13.42578125" customWidth="1"/>
    <col min="8" max="8" width="6.28515625" customWidth="1"/>
    <col min="9" max="9" width="1.42578125" style="27" customWidth="1"/>
    <col min="10" max="10" width="5.5703125" customWidth="1"/>
    <col min="11" max="242" width="9.140625" customWidth="1"/>
  </cols>
  <sheetData>
    <row r="1" spans="1:9" x14ac:dyDescent="0.2">
      <c r="B1" s="1"/>
      <c r="E1" s="13"/>
      <c r="F1" s="5"/>
      <c r="G1" s="5"/>
    </row>
    <row r="2" spans="1:9" x14ac:dyDescent="0.2">
      <c r="B2" s="8"/>
      <c r="E2" s="13"/>
      <c r="F2" s="5"/>
      <c r="G2" s="14"/>
    </row>
    <row r="3" spans="1:9" x14ac:dyDescent="0.2">
      <c r="A3" s="44" t="s">
        <v>98</v>
      </c>
      <c r="B3" s="45" t="s">
        <v>93</v>
      </c>
      <c r="C3" s="45" t="s">
        <v>94</v>
      </c>
      <c r="D3" s="45" t="s">
        <v>95</v>
      </c>
      <c r="E3" s="45" t="s">
        <v>96</v>
      </c>
      <c r="F3" s="45" t="s">
        <v>97</v>
      </c>
      <c r="G3" s="19"/>
    </row>
    <row r="4" spans="1:9" x14ac:dyDescent="0.2">
      <c r="A4" s="46">
        <f>+Lineal!A25</f>
        <v>1993</v>
      </c>
      <c r="B4" s="47">
        <f>+Lineal!D25</f>
        <v>4923.7594501718195</v>
      </c>
      <c r="C4" s="47">
        <f>+Potencial!G25</f>
        <v>4927.0586540353106</v>
      </c>
      <c r="D4" s="47">
        <f>+Logaritmico!E25</f>
        <v>4923.5469983642688</v>
      </c>
      <c r="E4" s="47">
        <f>+Polinomica_2!E25</f>
        <v>4956.8152195313014</v>
      </c>
      <c r="F4" s="48">
        <f>+Exponencial!F25</f>
        <v>4927.266100797372</v>
      </c>
      <c r="G4" s="14"/>
    </row>
    <row r="5" spans="1:9" x14ac:dyDescent="0.2">
      <c r="A5" s="46">
        <f>+Lineal!A26</f>
        <v>2005</v>
      </c>
      <c r="B5" s="47">
        <f>+Lineal!D26</f>
        <v>5162.7903780068737</v>
      </c>
      <c r="C5" s="47">
        <f>+Potencial!G26</f>
        <v>5159.9294439868727</v>
      </c>
      <c r="D5" s="47">
        <f>+Logaritmico!E26</f>
        <v>5163.158508374996</v>
      </c>
      <c r="E5" s="47">
        <f>+Polinomica_2!E26</f>
        <v>5125.5869265601505</v>
      </c>
      <c r="F5" s="48">
        <f>+Exponencial!F26</f>
        <v>5159.5635967673961</v>
      </c>
      <c r="H5" s="5"/>
      <c r="I5" s="29"/>
    </row>
    <row r="6" spans="1:9" x14ac:dyDescent="0.2">
      <c r="A6" s="46">
        <f>+Lineal!A27</f>
        <v>2007</v>
      </c>
      <c r="B6" s="47">
        <f>+Lineal!D27</f>
        <v>5202.628865979379</v>
      </c>
      <c r="C6" s="47">
        <f>+Potencial!G27</f>
        <v>5199.6577777672628</v>
      </c>
      <c r="D6" s="47">
        <f>+Logaritmico!E27</f>
        <v>5202.9542885175906</v>
      </c>
      <c r="E6" s="47">
        <f>+Polinomica_2!E27</f>
        <v>5167.9391612519976</v>
      </c>
      <c r="F6" s="48">
        <f>+Exponencial!F27</f>
        <v>5199.3309479646578</v>
      </c>
      <c r="H6" s="5"/>
      <c r="I6" s="29"/>
    </row>
    <row r="7" spans="1:9" x14ac:dyDescent="0.2">
      <c r="A7" s="46">
        <f>+Lineal!A28</f>
        <v>2017</v>
      </c>
      <c r="B7" s="47">
        <f>+Lineal!D28</f>
        <v>5401.8213058419205</v>
      </c>
      <c r="C7" s="47">
        <f>+Potencial!G28</f>
        <v>5402.3176345878119</v>
      </c>
      <c r="D7" s="47">
        <f>+Logaritmico!E28</f>
        <v>5401.3402047430864</v>
      </c>
      <c r="E7" s="47">
        <f>+Polinomica_2!E28</f>
        <v>5440.6586926556192</v>
      </c>
      <c r="F7" s="48">
        <f>+Exponencial!F28</f>
        <v>5402.8128305835262</v>
      </c>
      <c r="H7" s="5"/>
      <c r="I7" s="29"/>
    </row>
    <row r="8" spans="1:9" x14ac:dyDescent="0.2">
      <c r="A8" s="46">
        <f>+Lineal!A29</f>
        <v>2026</v>
      </c>
      <c r="B8" s="47">
        <f>+Lineal!D29</f>
        <v>5581.0945017182094</v>
      </c>
      <c r="C8" s="47">
        <f>+Potencial!G29</f>
        <v>5590.5520523620735</v>
      </c>
      <c r="D8" s="47">
        <f>+Logaritmico!E29</f>
        <v>5579.0483773757005</v>
      </c>
      <c r="E8" s="47">
        <f>+Polinomica_2!E29</f>
        <v>5772.9719309902284</v>
      </c>
      <c r="F8" s="48">
        <f>+Exponencial!F29</f>
        <v>5592.746529908537</v>
      </c>
      <c r="H8" s="5"/>
      <c r="I8" s="29"/>
    </row>
    <row r="9" spans="1:9" x14ac:dyDescent="0.2">
      <c r="A9" s="46">
        <f>+Lineal!A30</f>
        <v>2036</v>
      </c>
      <c r="B9" s="47">
        <f>+Lineal!D30</f>
        <v>5780.2869415807509</v>
      </c>
      <c r="C9" s="47">
        <f>+Potencial!G30</f>
        <v>5806.3699898855903</v>
      </c>
      <c r="D9" s="47">
        <f>+Logaritmico!E30</f>
        <v>5775.5783863092074</v>
      </c>
      <c r="E9" s="47">
        <f>+Polinomica_2!E30</f>
        <v>6238.7262625512667</v>
      </c>
      <c r="F9" s="48">
        <f>+Exponencial!F30</f>
        <v>5811.6251903179946</v>
      </c>
      <c r="H9" s="5"/>
      <c r="I9" s="29"/>
    </row>
    <row r="10" spans="1:9" x14ac:dyDescent="0.2">
      <c r="A10" s="46">
        <f>+Lineal!A31</f>
        <v>2046</v>
      </c>
      <c r="B10" s="47">
        <f>+Lineal!D31</f>
        <v>5979.4793814432996</v>
      </c>
      <c r="C10" s="47">
        <f>+Potencial!G31</f>
        <v>6029.4003090676297</v>
      </c>
      <c r="D10" s="47">
        <f>+Logaritmico!E31</f>
        <v>5971.1454809987918</v>
      </c>
      <c r="E10" s="47">
        <f>+Polinomica_2!E31</f>
        <v>6806.0778573537245</v>
      </c>
      <c r="F10" s="48">
        <f>+Exponencial!F31</f>
        <v>6039.0699224645659</v>
      </c>
      <c r="H10" s="5"/>
      <c r="I10" s="29"/>
    </row>
    <row r="11" spans="1:9" x14ac:dyDescent="0.2">
      <c r="A11" s="9"/>
      <c r="B11" s="25"/>
      <c r="C11" s="21"/>
      <c r="D11" s="21"/>
      <c r="E11" s="21"/>
      <c r="F11" s="21"/>
      <c r="H11" s="5"/>
      <c r="I11" s="29"/>
    </row>
    <row r="12" spans="1:9" x14ac:dyDescent="0.2">
      <c r="A12" s="9"/>
      <c r="B12" s="25"/>
      <c r="C12" s="21"/>
      <c r="D12" s="21"/>
      <c r="E12" s="21"/>
      <c r="F12" s="21"/>
      <c r="H12" s="5"/>
      <c r="I12" s="29"/>
    </row>
    <row r="13" spans="1:9" x14ac:dyDescent="0.2">
      <c r="A13" s="9"/>
      <c r="B13" s="25"/>
      <c r="C13" s="21"/>
      <c r="D13" s="21"/>
      <c r="E13" s="21"/>
      <c r="F13" s="21"/>
      <c r="H13" s="5"/>
      <c r="I13" s="29"/>
    </row>
    <row r="14" spans="1:9" x14ac:dyDescent="0.2">
      <c r="A14" s="9"/>
      <c r="B14" s="25"/>
      <c r="C14" s="21"/>
      <c r="D14" s="21"/>
      <c r="E14" s="21"/>
      <c r="F14" s="21"/>
      <c r="H14" s="5"/>
      <c r="I14" s="29"/>
    </row>
    <row r="15" spans="1:9" x14ac:dyDescent="0.2">
      <c r="A15" s="9"/>
      <c r="B15" s="25"/>
      <c r="C15" s="21"/>
      <c r="D15" s="21"/>
      <c r="E15" s="21"/>
      <c r="F15" s="21"/>
      <c r="H15" s="5"/>
      <c r="I15" s="29"/>
    </row>
    <row r="16" spans="1:9" x14ac:dyDescent="0.2">
      <c r="A16" s="9"/>
      <c r="B16" s="25"/>
      <c r="C16" s="21"/>
      <c r="D16" s="21"/>
      <c r="E16" s="21"/>
      <c r="F16" s="21"/>
      <c r="H16" s="5"/>
      <c r="I16" s="29"/>
    </row>
    <row r="17" spans="1:9" x14ac:dyDescent="0.2">
      <c r="A17" s="9"/>
      <c r="H17" s="5"/>
      <c r="I17" s="29"/>
    </row>
    <row r="18" spans="1:9" x14ac:dyDescent="0.2">
      <c r="A18" s="9"/>
      <c r="H18" s="5"/>
      <c r="I18" s="29"/>
    </row>
    <row r="19" spans="1:9" x14ac:dyDescent="0.2">
      <c r="A19" s="9"/>
      <c r="H19" s="5"/>
      <c r="I19" s="29"/>
    </row>
    <row r="20" spans="1:9" x14ac:dyDescent="0.2">
      <c r="A20" s="9"/>
      <c r="H20" s="5"/>
      <c r="I20" s="29"/>
    </row>
    <row r="21" spans="1:9" x14ac:dyDescent="0.2">
      <c r="A21" s="9"/>
      <c r="H21" s="5"/>
      <c r="I21" s="29"/>
    </row>
    <row r="22" spans="1:9" x14ac:dyDescent="0.2">
      <c r="A22" s="9"/>
      <c r="H22" s="5"/>
      <c r="I22" s="29"/>
    </row>
    <row r="23" spans="1:9" x14ac:dyDescent="0.2">
      <c r="A23" s="9"/>
      <c r="H23" s="5"/>
      <c r="I23" s="29"/>
    </row>
    <row r="24" spans="1:9" x14ac:dyDescent="0.2">
      <c r="A24" s="9"/>
      <c r="H24" s="5"/>
      <c r="I24" s="29"/>
    </row>
    <row r="25" spans="1:9" x14ac:dyDescent="0.2">
      <c r="A25" s="9"/>
      <c r="B25" s="25"/>
      <c r="C25" s="21"/>
      <c r="D25" s="21"/>
      <c r="E25" s="21"/>
      <c r="F25" s="21"/>
      <c r="H25" s="5"/>
      <c r="I25" s="29"/>
    </row>
    <row r="26" spans="1:9" x14ac:dyDescent="0.2">
      <c r="A26" s="9"/>
      <c r="B26" s="25"/>
      <c r="C26" s="21"/>
      <c r="D26" s="21"/>
      <c r="E26" s="21"/>
      <c r="F26" s="21"/>
      <c r="H26" s="5"/>
      <c r="I26" s="29"/>
    </row>
    <row r="27" spans="1:9" x14ac:dyDescent="0.2">
      <c r="A27" s="9"/>
      <c r="B27" s="25"/>
      <c r="C27" s="21"/>
      <c r="D27" s="21"/>
      <c r="E27" s="21"/>
      <c r="F27" s="21"/>
      <c r="H27" s="5"/>
      <c r="I27" s="29"/>
    </row>
    <row r="28" spans="1:9" x14ac:dyDescent="0.2">
      <c r="A28" s="9"/>
      <c r="B28" s="25"/>
      <c r="C28" s="21"/>
      <c r="D28" s="21"/>
      <c r="E28" s="21"/>
      <c r="F28" s="21"/>
      <c r="H28" s="5"/>
      <c r="I28" s="29"/>
    </row>
    <row r="29" spans="1:9" x14ac:dyDescent="0.2">
      <c r="A29" s="9"/>
      <c r="B29" s="25"/>
      <c r="C29" s="21"/>
      <c r="D29" s="21"/>
      <c r="E29" s="21"/>
      <c r="F29" s="21"/>
      <c r="H29" s="5"/>
      <c r="I29" s="29"/>
    </row>
    <row r="30" spans="1:9" x14ac:dyDescent="0.2">
      <c r="A30" s="9"/>
      <c r="B30" s="25"/>
      <c r="C30" s="21"/>
      <c r="D30" s="21"/>
      <c r="E30" s="21"/>
      <c r="F30" s="21"/>
      <c r="H30" s="5"/>
      <c r="I30" s="29"/>
    </row>
    <row r="31" spans="1:9" x14ac:dyDescent="0.2">
      <c r="A31" s="9"/>
      <c r="B31" s="25"/>
      <c r="C31" s="21"/>
      <c r="D31" s="21"/>
      <c r="E31" s="21"/>
      <c r="F31" s="21"/>
      <c r="H31" s="5"/>
      <c r="I31" s="29"/>
    </row>
    <row r="32" spans="1:9" x14ac:dyDescent="0.2">
      <c r="A32" s="9"/>
      <c r="B32" s="25"/>
      <c r="C32" s="21"/>
      <c r="D32" s="21"/>
      <c r="E32" s="21"/>
      <c r="F32" s="21"/>
      <c r="H32" s="5"/>
      <c r="I32" s="29"/>
    </row>
    <row r="33" spans="1:9" x14ac:dyDescent="0.2">
      <c r="A33" s="9"/>
      <c r="B33" s="25"/>
      <c r="C33" s="21"/>
      <c r="D33" s="21"/>
      <c r="E33" s="21"/>
      <c r="F33" s="21"/>
      <c r="H33" s="5"/>
      <c r="I33" s="29"/>
    </row>
    <row r="34" spans="1:9" x14ac:dyDescent="0.2">
      <c r="A34" s="9"/>
      <c r="B34" s="25"/>
      <c r="C34" s="21"/>
      <c r="D34" s="21"/>
      <c r="E34" s="21"/>
      <c r="F34" s="21"/>
      <c r="H34" s="5"/>
      <c r="I34" s="29"/>
    </row>
    <row r="35" spans="1:9" x14ac:dyDescent="0.2">
      <c r="A35" s="9"/>
      <c r="B35" s="25"/>
      <c r="C35" s="21"/>
      <c r="D35" s="21"/>
      <c r="E35" s="21"/>
      <c r="F35" s="21"/>
      <c r="H35" s="5"/>
      <c r="I35" s="29"/>
    </row>
    <row r="36" spans="1:9" x14ac:dyDescent="0.2">
      <c r="A36" s="9"/>
      <c r="B36" s="25"/>
      <c r="C36" s="21"/>
      <c r="D36" s="21"/>
      <c r="E36" s="21"/>
      <c r="F36" s="21"/>
      <c r="H36" s="5"/>
      <c r="I36" s="29"/>
    </row>
    <row r="37" spans="1:9" x14ac:dyDescent="0.2">
      <c r="A37" s="9"/>
      <c r="B37" s="25"/>
      <c r="C37" s="21"/>
      <c r="D37" s="21"/>
      <c r="E37" s="21"/>
      <c r="F37" s="21"/>
      <c r="H37" s="5"/>
      <c r="I37" s="29"/>
    </row>
    <row r="38" spans="1:9" x14ac:dyDescent="0.2">
      <c r="A38" s="9"/>
      <c r="B38" s="25"/>
      <c r="C38" s="21"/>
      <c r="D38" s="21"/>
      <c r="E38" s="21"/>
      <c r="F38" s="21"/>
      <c r="H38" s="5"/>
      <c r="I38" s="29"/>
    </row>
    <row r="39" spans="1:9" x14ac:dyDescent="0.2">
      <c r="A39" s="9"/>
      <c r="B39" s="25"/>
      <c r="C39" s="21"/>
      <c r="D39" s="21"/>
      <c r="E39" s="21"/>
      <c r="F39" s="21"/>
      <c r="H39" s="5"/>
      <c r="I39" s="29"/>
    </row>
    <row r="40" spans="1:9" x14ac:dyDescent="0.2">
      <c r="A40" s="9"/>
      <c r="B40" s="25"/>
      <c r="C40" s="21"/>
      <c r="D40" s="21"/>
      <c r="E40" s="21"/>
      <c r="F40" s="21"/>
      <c r="H40" s="5"/>
      <c r="I40" s="29"/>
    </row>
    <row r="41" spans="1:9" x14ac:dyDescent="0.2">
      <c r="A41" s="9"/>
      <c r="B41" s="25"/>
      <c r="C41" s="21"/>
      <c r="D41" s="21"/>
      <c r="E41" s="21"/>
      <c r="F41" s="21"/>
      <c r="H41" s="5"/>
      <c r="I41" s="29"/>
    </row>
    <row r="42" spans="1:9" x14ac:dyDescent="0.2">
      <c r="A42" s="9"/>
      <c r="B42" s="25"/>
      <c r="C42" s="21"/>
      <c r="D42" s="21"/>
      <c r="E42" s="21"/>
      <c r="F42" s="21"/>
      <c r="H42" s="5"/>
      <c r="I42" s="29"/>
    </row>
    <row r="43" spans="1:9" x14ac:dyDescent="0.2">
      <c r="A43" s="9"/>
      <c r="B43" s="25"/>
      <c r="C43" s="21"/>
      <c r="D43" s="21"/>
      <c r="E43" s="21"/>
      <c r="F43" s="21"/>
      <c r="H43" s="5"/>
      <c r="I43" s="29"/>
    </row>
    <row r="44" spans="1:9" x14ac:dyDescent="0.2">
      <c r="A44" s="9"/>
      <c r="B44" s="25"/>
      <c r="C44" s="21"/>
      <c r="D44" s="21"/>
      <c r="E44" s="21"/>
      <c r="F44" s="21"/>
      <c r="H44" s="5"/>
      <c r="I44" s="29"/>
    </row>
    <row r="45" spans="1:9" x14ac:dyDescent="0.2">
      <c r="A45" s="9"/>
      <c r="B45" s="25"/>
      <c r="C45" s="21"/>
      <c r="D45" s="21"/>
      <c r="E45" s="21"/>
      <c r="F45" s="21"/>
      <c r="H45" s="5"/>
      <c r="I45" s="29"/>
    </row>
    <row r="46" spans="1:9" x14ac:dyDescent="0.2">
      <c r="A46" s="9"/>
      <c r="B46" s="25"/>
      <c r="C46" s="21"/>
      <c r="D46" s="21"/>
      <c r="E46" s="21"/>
      <c r="F46" s="21"/>
      <c r="H46" s="5"/>
      <c r="I46" s="29"/>
    </row>
    <row r="47" spans="1:9" x14ac:dyDescent="0.2">
      <c r="A47" s="9"/>
      <c r="B47" s="25"/>
      <c r="C47" s="21"/>
      <c r="D47" s="21"/>
      <c r="E47" s="21"/>
      <c r="F47" s="21"/>
      <c r="H47" s="5"/>
      <c r="I47" s="29"/>
    </row>
    <row r="48" spans="1:9" x14ac:dyDescent="0.2">
      <c r="A48" s="9"/>
      <c r="B48" s="25"/>
      <c r="C48" s="21"/>
      <c r="D48" s="21"/>
      <c r="E48" s="21"/>
      <c r="F48" s="21"/>
      <c r="H48" s="5"/>
      <c r="I48" s="29"/>
    </row>
    <row r="49" spans="1:9" x14ac:dyDescent="0.2">
      <c r="A49" s="9"/>
      <c r="B49" s="25"/>
      <c r="C49" s="21"/>
      <c r="D49" s="21"/>
      <c r="E49" s="21"/>
      <c r="F49" s="21"/>
      <c r="H49" s="5"/>
      <c r="I49" s="29"/>
    </row>
    <row r="50" spans="1:9" x14ac:dyDescent="0.2">
      <c r="A50" s="9"/>
      <c r="B50" s="25"/>
      <c r="C50" s="21"/>
      <c r="D50" s="21"/>
      <c r="E50" s="21"/>
      <c r="F50" s="21"/>
      <c r="H50" s="5"/>
      <c r="I50" s="29"/>
    </row>
    <row r="51" spans="1:9" x14ac:dyDescent="0.2">
      <c r="A51" s="9"/>
      <c r="B51" s="25"/>
      <c r="C51" s="21"/>
      <c r="D51" s="21"/>
      <c r="E51" s="21"/>
      <c r="F51" s="21"/>
      <c r="H51" s="5"/>
      <c r="I51" s="29"/>
    </row>
    <row r="52" spans="1:9" x14ac:dyDescent="0.2">
      <c r="A52" s="9"/>
      <c r="B52" s="25"/>
      <c r="C52" s="21"/>
      <c r="D52" s="21"/>
      <c r="E52" s="21"/>
      <c r="F52" s="21"/>
      <c r="H52" s="5"/>
      <c r="I52" s="29"/>
    </row>
    <row r="53" spans="1:9" x14ac:dyDescent="0.2">
      <c r="A53" s="9"/>
      <c r="B53" s="25"/>
      <c r="C53" s="21"/>
      <c r="D53" s="21"/>
      <c r="E53" s="21"/>
      <c r="F53" s="21"/>
      <c r="H53" s="5"/>
      <c r="I53" s="29"/>
    </row>
    <row r="54" spans="1:9" x14ac:dyDescent="0.2">
      <c r="A54" s="9"/>
      <c r="B54" s="25"/>
      <c r="C54" s="21"/>
      <c r="D54" s="21"/>
      <c r="E54" s="21"/>
      <c r="F54" s="21"/>
      <c r="H54" s="5"/>
      <c r="I54" s="29"/>
    </row>
    <row r="55" spans="1:9" x14ac:dyDescent="0.2">
      <c r="A55" s="9"/>
      <c r="B55" s="25"/>
      <c r="C55" s="21"/>
      <c r="D55" s="21"/>
      <c r="E55" s="21"/>
      <c r="F55" s="21"/>
      <c r="H55" s="5"/>
      <c r="I55" s="29"/>
    </row>
    <row r="56" spans="1:9" x14ac:dyDescent="0.2">
      <c r="A56" s="9"/>
      <c r="B56" s="25"/>
      <c r="C56" s="21"/>
      <c r="D56" s="21"/>
      <c r="E56" s="21"/>
      <c r="F56" s="21"/>
      <c r="H56" s="5"/>
      <c r="I56" s="29"/>
    </row>
    <row r="57" spans="1:9" x14ac:dyDescent="0.2">
      <c r="A57" s="9"/>
      <c r="B57" s="25"/>
      <c r="C57" s="21"/>
      <c r="D57" s="21"/>
      <c r="E57" s="21"/>
      <c r="F57" s="21"/>
      <c r="H57" s="5"/>
      <c r="I57" s="29"/>
    </row>
    <row r="58" spans="1:9" x14ac:dyDescent="0.2">
      <c r="A58" s="9"/>
      <c r="B58" s="25"/>
      <c r="C58" s="21"/>
      <c r="D58" s="21"/>
      <c r="E58" s="21"/>
      <c r="F58" s="21"/>
      <c r="H58" s="5"/>
      <c r="I58" s="29"/>
    </row>
    <row r="59" spans="1:9" x14ac:dyDescent="0.2">
      <c r="A59" s="9"/>
      <c r="B59" s="25"/>
      <c r="C59" s="21"/>
      <c r="D59" s="21"/>
      <c r="E59" s="21"/>
      <c r="F59" s="21"/>
      <c r="H59" s="5"/>
      <c r="I59" s="29"/>
    </row>
    <row r="60" spans="1:9" x14ac:dyDescent="0.2">
      <c r="A60" s="9"/>
      <c r="B60" s="25"/>
      <c r="C60" s="21"/>
      <c r="D60" s="21"/>
      <c r="E60" s="21"/>
      <c r="F60" s="21"/>
      <c r="H60" s="5"/>
      <c r="I60" s="29"/>
    </row>
    <row r="61" spans="1:9" x14ac:dyDescent="0.2">
      <c r="A61" s="9"/>
      <c r="B61" s="25"/>
      <c r="C61" s="21"/>
      <c r="D61" s="21"/>
      <c r="E61" s="21"/>
      <c r="F61" s="21"/>
      <c r="H61" s="5"/>
      <c r="I61" s="29"/>
    </row>
    <row r="62" spans="1:9" x14ac:dyDescent="0.2">
      <c r="A62" s="9"/>
      <c r="B62" s="25"/>
      <c r="C62" s="21"/>
      <c r="D62" s="21"/>
      <c r="E62" s="21"/>
      <c r="F62" s="21"/>
      <c r="H62" s="5"/>
      <c r="I62" s="29"/>
    </row>
    <row r="63" spans="1:9" x14ac:dyDescent="0.2">
      <c r="A63" s="9"/>
      <c r="B63" s="25"/>
      <c r="C63" s="21"/>
      <c r="D63" s="21"/>
      <c r="E63" s="21"/>
      <c r="F63" s="21"/>
      <c r="H63" s="5"/>
      <c r="I63" s="29"/>
    </row>
    <row r="64" spans="1:9" x14ac:dyDescent="0.2">
      <c r="A64" s="9"/>
      <c r="B64" s="25"/>
      <c r="C64" s="21"/>
      <c r="D64" s="21"/>
      <c r="E64" s="21"/>
      <c r="F64" s="21"/>
      <c r="H64" s="5"/>
      <c r="I64" s="29"/>
    </row>
    <row r="65" spans="1:9" x14ac:dyDescent="0.2">
      <c r="A65" s="9"/>
      <c r="B65" s="25"/>
      <c r="C65" s="21"/>
      <c r="D65" s="21"/>
      <c r="E65" s="21"/>
      <c r="F65" s="21"/>
      <c r="H65" s="5"/>
      <c r="I65" s="29"/>
    </row>
    <row r="66" spans="1:9" x14ac:dyDescent="0.2">
      <c r="A66" s="9"/>
      <c r="B66" s="25"/>
      <c r="C66" s="21"/>
      <c r="D66" s="21"/>
      <c r="E66" s="21"/>
      <c r="F66" s="21"/>
      <c r="H66" s="5"/>
      <c r="I66" s="29"/>
    </row>
    <row r="67" spans="1:9" x14ac:dyDescent="0.2">
      <c r="A67" s="9"/>
      <c r="B67" s="25"/>
      <c r="C67" s="21"/>
      <c r="D67" s="21"/>
      <c r="E67" s="21"/>
      <c r="F67" s="21"/>
      <c r="H67" s="5"/>
      <c r="I67" s="29"/>
    </row>
    <row r="68" spans="1:9" x14ac:dyDescent="0.2">
      <c r="A68" s="9"/>
      <c r="B68" s="25"/>
      <c r="C68" s="21"/>
      <c r="D68" s="21"/>
      <c r="E68" s="21"/>
      <c r="F68" s="21"/>
      <c r="H68" s="5"/>
      <c r="I68" s="29"/>
    </row>
    <row r="69" spans="1:9" x14ac:dyDescent="0.2">
      <c r="A69" s="9"/>
      <c r="B69" s="25"/>
      <c r="C69" s="21"/>
      <c r="D69" s="21"/>
      <c r="E69" s="21"/>
      <c r="F69" s="21"/>
      <c r="H69" s="5"/>
      <c r="I69" s="29"/>
    </row>
    <row r="70" spans="1:9" x14ac:dyDescent="0.2">
      <c r="A70" s="9"/>
      <c r="B70" s="25"/>
      <c r="C70" s="21"/>
      <c r="D70" s="21"/>
      <c r="E70" s="21"/>
      <c r="F70" s="21"/>
      <c r="H70" s="5"/>
      <c r="I70" s="29"/>
    </row>
    <row r="71" spans="1:9" x14ac:dyDescent="0.2">
      <c r="A71" s="9"/>
      <c r="B71" s="25"/>
      <c r="C71" s="21"/>
      <c r="D71" s="21"/>
      <c r="E71" s="21"/>
      <c r="F71" s="21"/>
      <c r="H71" s="5"/>
      <c r="I71" s="29"/>
    </row>
    <row r="72" spans="1:9" x14ac:dyDescent="0.2">
      <c r="A72" s="9"/>
      <c r="B72" s="25"/>
      <c r="C72" s="21"/>
      <c r="D72" s="21"/>
      <c r="E72" s="21"/>
      <c r="F72" s="21"/>
      <c r="H72" s="5"/>
      <c r="I72" s="29"/>
    </row>
    <row r="73" spans="1:9" x14ac:dyDescent="0.2">
      <c r="A73" s="9"/>
      <c r="B73" s="25"/>
      <c r="C73" s="21"/>
      <c r="D73" s="21"/>
      <c r="E73" s="21"/>
      <c r="F73" s="21"/>
      <c r="H73" s="5"/>
      <c r="I73" s="29"/>
    </row>
    <row r="74" spans="1:9" x14ac:dyDescent="0.2">
      <c r="A74" s="9"/>
      <c r="B74" s="25"/>
      <c r="C74" s="21"/>
      <c r="D74" s="21"/>
      <c r="E74" s="21"/>
      <c r="F74" s="21"/>
      <c r="H74" s="5"/>
      <c r="I74" s="29"/>
    </row>
    <row r="75" spans="1:9" x14ac:dyDescent="0.2">
      <c r="A75" s="9"/>
      <c r="B75" s="25"/>
      <c r="C75" s="21"/>
      <c r="D75" s="21"/>
      <c r="E75" s="21"/>
      <c r="F75" s="21"/>
      <c r="H75" s="5"/>
      <c r="I75" s="29"/>
    </row>
    <row r="76" spans="1:9" x14ac:dyDescent="0.2">
      <c r="A76" s="9"/>
      <c r="B76" s="25"/>
      <c r="C76" s="21"/>
      <c r="D76" s="21"/>
      <c r="E76" s="21"/>
      <c r="F76" s="21"/>
      <c r="H76" s="5"/>
      <c r="I76" s="29"/>
    </row>
    <row r="77" spans="1:9" x14ac:dyDescent="0.2">
      <c r="A77" s="9"/>
      <c r="B77" s="25"/>
      <c r="C77" s="21"/>
      <c r="D77" s="21"/>
      <c r="E77" s="21"/>
      <c r="F77" s="21"/>
      <c r="H77" s="5"/>
      <c r="I77" s="29"/>
    </row>
    <row r="78" spans="1:9" x14ac:dyDescent="0.2">
      <c r="A78" s="9"/>
      <c r="B78" s="25"/>
      <c r="C78" s="21"/>
      <c r="D78" s="21"/>
      <c r="E78" s="21"/>
      <c r="F78" s="21"/>
      <c r="H78" s="5"/>
      <c r="I78" s="29"/>
    </row>
    <row r="79" spans="1:9" x14ac:dyDescent="0.2">
      <c r="A79" s="9"/>
      <c r="B79" s="25"/>
      <c r="C79" s="21"/>
      <c r="D79" s="21"/>
      <c r="E79" s="21"/>
      <c r="F79" s="21"/>
      <c r="H79" s="5"/>
      <c r="I79" s="29"/>
    </row>
    <row r="80" spans="1:9" x14ac:dyDescent="0.2">
      <c r="A80" s="9"/>
      <c r="B80" s="25"/>
      <c r="C80" s="21"/>
      <c r="D80" s="21"/>
      <c r="E80" s="21"/>
      <c r="F80" s="21"/>
      <c r="H80" s="5"/>
      <c r="I80" s="29"/>
    </row>
    <row r="81" spans="1:9" x14ac:dyDescent="0.2">
      <c r="A81" s="9"/>
      <c r="B81" s="25"/>
      <c r="C81" s="21"/>
      <c r="D81" s="21"/>
      <c r="E81" s="21"/>
      <c r="F81" s="21"/>
      <c r="H81" s="5"/>
      <c r="I81" s="29"/>
    </row>
    <row r="82" spans="1:9" x14ac:dyDescent="0.2">
      <c r="A82" s="9"/>
      <c r="B82" s="25"/>
      <c r="C82" s="21"/>
      <c r="D82" s="21"/>
      <c r="E82" s="21"/>
      <c r="F82" s="21"/>
      <c r="H82" s="5"/>
      <c r="I82" s="29"/>
    </row>
    <row r="83" spans="1:9" x14ac:dyDescent="0.2">
      <c r="A83" s="9"/>
      <c r="B83" s="25"/>
      <c r="C83" s="21"/>
      <c r="D83" s="21"/>
      <c r="E83" s="21"/>
      <c r="F83" s="21"/>
      <c r="H83" s="5"/>
      <c r="I83" s="29"/>
    </row>
    <row r="84" spans="1:9" x14ac:dyDescent="0.2">
      <c r="A84" s="9"/>
      <c r="B84" s="25"/>
      <c r="C84" s="21"/>
      <c r="D84" s="21"/>
      <c r="E84" s="21"/>
      <c r="F84" s="21"/>
      <c r="H84" s="5"/>
      <c r="I84" s="29"/>
    </row>
    <row r="85" spans="1:9" x14ac:dyDescent="0.2">
      <c r="A85" s="9"/>
      <c r="B85" s="25"/>
      <c r="C85" s="21"/>
      <c r="D85" s="21"/>
      <c r="E85" s="21"/>
      <c r="F85" s="21"/>
      <c r="H85" s="5"/>
      <c r="I85" s="29"/>
    </row>
    <row r="86" spans="1:9" x14ac:dyDescent="0.2">
      <c r="A86" s="9"/>
      <c r="B86" s="25"/>
      <c r="C86" s="21"/>
      <c r="D86" s="21"/>
      <c r="E86" s="21"/>
      <c r="F86" s="21"/>
      <c r="H86" s="5"/>
      <c r="I86" s="29"/>
    </row>
    <row r="87" spans="1:9" x14ac:dyDescent="0.2">
      <c r="A87" s="9"/>
      <c r="B87" s="25"/>
      <c r="C87" s="21"/>
      <c r="D87" s="21"/>
      <c r="E87" s="21"/>
      <c r="F87" s="21"/>
      <c r="H87" s="5"/>
      <c r="I87" s="29"/>
    </row>
    <row r="88" spans="1:9" x14ac:dyDescent="0.2">
      <c r="A88" s="9"/>
      <c r="B88" s="25"/>
      <c r="C88" s="21"/>
      <c r="D88" s="21"/>
      <c r="E88" s="21"/>
      <c r="F88" s="21"/>
      <c r="H88" s="5"/>
      <c r="I88" s="29"/>
    </row>
    <row r="89" spans="1:9" x14ac:dyDescent="0.2">
      <c r="A89" s="9"/>
      <c r="B89" s="25"/>
      <c r="C89" s="21"/>
      <c r="D89" s="21"/>
      <c r="E89" s="21"/>
      <c r="F89" s="21"/>
      <c r="H89" s="5"/>
      <c r="I89" s="29"/>
    </row>
    <row r="90" spans="1:9" x14ac:dyDescent="0.2">
      <c r="A90" s="9"/>
      <c r="B90" s="25"/>
      <c r="C90" s="21"/>
      <c r="D90" s="21"/>
      <c r="E90" s="21"/>
      <c r="F90" s="21"/>
      <c r="H90" s="5"/>
      <c r="I90" s="29"/>
    </row>
    <row r="91" spans="1:9" x14ac:dyDescent="0.2">
      <c r="A91" s="9"/>
      <c r="B91" s="25"/>
      <c r="C91" s="21"/>
      <c r="D91" s="21"/>
      <c r="E91" s="21"/>
      <c r="F91" s="21"/>
      <c r="H91" s="5"/>
      <c r="I91" s="29"/>
    </row>
    <row r="92" spans="1:9" x14ac:dyDescent="0.2">
      <c r="A92" s="9"/>
      <c r="B92" s="25"/>
      <c r="C92" s="21"/>
      <c r="D92" s="21"/>
      <c r="E92" s="21"/>
      <c r="F92" s="21"/>
      <c r="H92" s="5"/>
      <c r="I92" s="29"/>
    </row>
    <row r="93" spans="1:9" x14ac:dyDescent="0.2">
      <c r="A93" s="9"/>
      <c r="B93" s="25"/>
      <c r="C93" s="21"/>
      <c r="D93" s="21"/>
      <c r="E93" s="21"/>
      <c r="F93" s="21"/>
      <c r="H93" s="5"/>
      <c r="I93" s="29"/>
    </row>
    <row r="94" spans="1:9" x14ac:dyDescent="0.2">
      <c r="A94" s="9"/>
      <c r="B94" s="25"/>
      <c r="C94" s="21"/>
      <c r="D94" s="21"/>
      <c r="E94" s="21"/>
      <c r="F94" s="21"/>
      <c r="H94" s="5"/>
      <c r="I94" s="29"/>
    </row>
    <row r="95" spans="1:9" x14ac:dyDescent="0.2">
      <c r="A95" s="9"/>
      <c r="B95" s="25"/>
      <c r="C95" s="21"/>
      <c r="D95" s="21"/>
      <c r="E95" s="21"/>
      <c r="F95" s="21"/>
      <c r="H95" s="5"/>
      <c r="I95" s="29"/>
    </row>
    <row r="96" spans="1:9" x14ac:dyDescent="0.2">
      <c r="A96" s="9"/>
      <c r="B96" s="25"/>
      <c r="C96" s="21"/>
      <c r="D96" s="21"/>
      <c r="E96" s="21"/>
      <c r="F96" s="21"/>
      <c r="H96" s="5"/>
      <c r="I96" s="29"/>
    </row>
    <row r="97" spans="1:9" x14ac:dyDescent="0.2">
      <c r="A97" s="9"/>
      <c r="B97" s="25"/>
      <c r="C97" s="21"/>
      <c r="D97" s="21"/>
      <c r="E97" s="21"/>
      <c r="F97" s="21"/>
      <c r="H97" s="5"/>
      <c r="I97" s="29"/>
    </row>
    <row r="98" spans="1:9" x14ac:dyDescent="0.2">
      <c r="A98" s="9"/>
      <c r="B98" s="25"/>
      <c r="C98" s="21"/>
      <c r="D98" s="21"/>
      <c r="E98" s="21"/>
      <c r="F98" s="21"/>
      <c r="H98" s="5"/>
      <c r="I98" s="29"/>
    </row>
    <row r="99" spans="1:9" x14ac:dyDescent="0.2">
      <c r="A99" s="9"/>
      <c r="B99" s="25"/>
      <c r="C99" s="21"/>
      <c r="D99" s="21"/>
      <c r="E99" s="21"/>
      <c r="F99" s="21"/>
      <c r="H99" s="5"/>
      <c r="I99" s="29"/>
    </row>
    <row r="100" spans="1:9" x14ac:dyDescent="0.2">
      <c r="A100" s="9"/>
      <c r="B100" s="25"/>
      <c r="C100" s="21"/>
      <c r="D100" s="21"/>
      <c r="E100" s="21"/>
      <c r="F100" s="21"/>
      <c r="H100" s="11"/>
      <c r="I100" s="30"/>
    </row>
    <row r="101" spans="1:9" x14ac:dyDescent="0.2">
      <c r="A101" s="9"/>
      <c r="B101" s="25"/>
      <c r="C101" s="21"/>
      <c r="D101" s="21"/>
      <c r="E101" s="21"/>
      <c r="F101" s="21"/>
      <c r="H101" s="11"/>
      <c r="I101" s="30"/>
    </row>
    <row r="102" spans="1:9" x14ac:dyDescent="0.2">
      <c r="B102" s="21"/>
      <c r="C102" s="21"/>
      <c r="E102" s="21"/>
      <c r="H102" s="11"/>
      <c r="I102" s="30"/>
    </row>
    <row r="103" spans="1:9" x14ac:dyDescent="0.2">
      <c r="B103" s="21"/>
      <c r="C103" s="21"/>
      <c r="E103" s="21"/>
      <c r="H103" s="11"/>
      <c r="I103" s="30"/>
    </row>
    <row r="104" spans="1:9" x14ac:dyDescent="0.2">
      <c r="B104" s="21"/>
      <c r="C104" s="21"/>
      <c r="E104" s="21"/>
      <c r="H104" s="11"/>
      <c r="I104" s="30"/>
    </row>
    <row r="105" spans="1:9" x14ac:dyDescent="0.2">
      <c r="B105" s="21"/>
      <c r="C105" s="21"/>
      <c r="E105" s="21"/>
      <c r="H105" s="11"/>
      <c r="I105" s="30"/>
    </row>
    <row r="106" spans="1:9" x14ac:dyDescent="0.2">
      <c r="B106" s="21"/>
      <c r="C106" s="21"/>
      <c r="E106" s="21"/>
      <c r="H106" s="11"/>
      <c r="I106" s="30"/>
    </row>
    <row r="107" spans="1:9" x14ac:dyDescent="0.2">
      <c r="B107" s="21"/>
      <c r="C107" s="21"/>
      <c r="E107" s="21"/>
      <c r="H107" s="11"/>
      <c r="I107" s="30"/>
    </row>
    <row r="108" spans="1:9" x14ac:dyDescent="0.2">
      <c r="B108" s="21"/>
      <c r="C108" s="21"/>
      <c r="E108" s="21"/>
      <c r="H108" s="11"/>
      <c r="I108" s="30"/>
    </row>
    <row r="109" spans="1:9" x14ac:dyDescent="0.2">
      <c r="B109" s="21"/>
      <c r="C109" s="21"/>
      <c r="E109" s="21"/>
      <c r="H109" s="11"/>
      <c r="I109" s="30"/>
    </row>
    <row r="110" spans="1:9" x14ac:dyDescent="0.2">
      <c r="B110" s="21"/>
      <c r="C110" s="21"/>
      <c r="E110" s="21"/>
      <c r="H110" s="11"/>
      <c r="I110" s="30"/>
    </row>
    <row r="111" spans="1:9" x14ac:dyDescent="0.2">
      <c r="B111" s="21"/>
      <c r="C111" s="21"/>
      <c r="E111" s="21"/>
      <c r="H111" s="11"/>
      <c r="I111" s="30"/>
    </row>
    <row r="112" spans="1:9" x14ac:dyDescent="0.2">
      <c r="B112" s="21"/>
      <c r="C112" s="21"/>
      <c r="E112" s="21"/>
      <c r="H112" s="11"/>
      <c r="I112" s="30"/>
    </row>
    <row r="113" spans="2:9" x14ac:dyDescent="0.2">
      <c r="B113" s="21"/>
      <c r="C113" s="21"/>
      <c r="E113" s="21"/>
      <c r="H113" s="11"/>
      <c r="I113" s="30"/>
    </row>
    <row r="114" spans="2:9" x14ac:dyDescent="0.2">
      <c r="B114" s="21"/>
      <c r="C114" s="21"/>
      <c r="D114" s="21"/>
      <c r="H114" s="11"/>
      <c r="I114" s="30"/>
    </row>
    <row r="115" spans="2:9" x14ac:dyDescent="0.2">
      <c r="B115" s="21"/>
      <c r="C115" s="21"/>
      <c r="D115" s="21"/>
      <c r="H115" s="11"/>
      <c r="I115" s="30"/>
    </row>
    <row r="116" spans="2:9" x14ac:dyDescent="0.2">
      <c r="B116" s="21"/>
      <c r="C116" s="21"/>
      <c r="D116" s="21"/>
      <c r="H116" s="11"/>
      <c r="I116" s="30"/>
    </row>
    <row r="117" spans="2:9" x14ac:dyDescent="0.2">
      <c r="B117" s="21"/>
      <c r="C117" s="21"/>
      <c r="D117" s="21"/>
      <c r="H117" s="3"/>
      <c r="I117" s="31"/>
    </row>
    <row r="118" spans="2:9" x14ac:dyDescent="0.2">
      <c r="B118" s="21"/>
      <c r="C118" s="21"/>
      <c r="D118" s="21"/>
      <c r="H118" s="3"/>
      <c r="I118" s="31"/>
    </row>
    <row r="119" spans="2:9" x14ac:dyDescent="0.2">
      <c r="B119" s="21"/>
      <c r="C119" s="21"/>
      <c r="D119" s="21"/>
      <c r="H119" s="3"/>
      <c r="I119" s="31"/>
    </row>
    <row r="120" spans="2:9" x14ac:dyDescent="0.2">
      <c r="B120" s="21"/>
      <c r="C120" s="21"/>
      <c r="D120" s="21"/>
      <c r="H120" s="3"/>
      <c r="I120" s="31"/>
    </row>
    <row r="121" spans="2:9" x14ac:dyDescent="0.2">
      <c r="B121" s="21"/>
      <c r="C121" s="21"/>
      <c r="D121" s="21"/>
      <c r="H121" s="3"/>
      <c r="I121" s="31"/>
    </row>
    <row r="122" spans="2:9" x14ac:dyDescent="0.2">
      <c r="B122" s="21"/>
      <c r="C122" s="21"/>
      <c r="D122" s="21"/>
      <c r="H122" s="3"/>
      <c r="I122" s="31"/>
    </row>
    <row r="123" spans="2:9" x14ac:dyDescent="0.2">
      <c r="B123" s="21"/>
      <c r="C123" s="21"/>
      <c r="D123" s="21"/>
      <c r="H123" s="3"/>
      <c r="I123" s="31"/>
    </row>
    <row r="124" spans="2:9" x14ac:dyDescent="0.2">
      <c r="B124" s="21"/>
      <c r="C124" s="21"/>
      <c r="D124" s="21"/>
      <c r="H124" s="3"/>
      <c r="I124" s="31"/>
    </row>
    <row r="125" spans="2:9" x14ac:dyDescent="0.2">
      <c r="B125" s="21"/>
      <c r="C125" s="21"/>
      <c r="D125" s="21"/>
      <c r="H125" s="3"/>
      <c r="I125" s="31"/>
    </row>
    <row r="126" spans="2:9" x14ac:dyDescent="0.2">
      <c r="B126" s="21"/>
      <c r="C126" s="21"/>
      <c r="D126" s="21"/>
      <c r="H126" s="3"/>
      <c r="I126" s="31"/>
    </row>
    <row r="127" spans="2:9" x14ac:dyDescent="0.2">
      <c r="B127" s="21"/>
      <c r="C127" s="21"/>
      <c r="D127" s="21"/>
      <c r="H127" s="3"/>
      <c r="I127" s="31"/>
    </row>
    <row r="128" spans="2:9" x14ac:dyDescent="0.2">
      <c r="B128" s="21"/>
      <c r="C128" s="21"/>
      <c r="D128" s="21"/>
      <c r="H128" s="3"/>
      <c r="I128" s="31"/>
    </row>
    <row r="129" spans="2:9" x14ac:dyDescent="0.2">
      <c r="B129" s="21"/>
      <c r="C129" s="21"/>
      <c r="D129" s="21"/>
      <c r="H129" s="3"/>
      <c r="I129" s="31"/>
    </row>
    <row r="130" spans="2:9" x14ac:dyDescent="0.2">
      <c r="B130" s="21"/>
      <c r="C130" s="21"/>
      <c r="D130" s="21"/>
      <c r="H130" s="3"/>
      <c r="I130" s="31"/>
    </row>
    <row r="131" spans="2:9" x14ac:dyDescent="0.2">
      <c r="B131" s="21"/>
      <c r="C131" s="21"/>
      <c r="D131" s="21"/>
      <c r="H131" s="3"/>
      <c r="I131" s="31"/>
    </row>
    <row r="132" spans="2:9" x14ac:dyDescent="0.2">
      <c r="B132" s="21"/>
      <c r="C132" s="21"/>
      <c r="D132" s="21"/>
      <c r="H132" s="3"/>
      <c r="I132" s="31"/>
    </row>
    <row r="133" spans="2:9" x14ac:dyDescent="0.2">
      <c r="B133" s="21"/>
      <c r="C133" s="21"/>
      <c r="D133" s="21"/>
      <c r="F133" s="3"/>
      <c r="G133" s="3"/>
      <c r="H133" s="3"/>
      <c r="I133" s="31"/>
    </row>
    <row r="134" spans="2:9" x14ac:dyDescent="0.2">
      <c r="B134" s="21"/>
      <c r="C134" s="21"/>
      <c r="D134" s="21"/>
      <c r="F134" s="3"/>
      <c r="G134" s="3"/>
      <c r="H134" s="3"/>
      <c r="I134" s="31"/>
    </row>
    <row r="135" spans="2:9" x14ac:dyDescent="0.2">
      <c r="B135" s="21"/>
      <c r="C135" s="21"/>
      <c r="D135" s="21"/>
      <c r="F135" s="3"/>
      <c r="G135" s="3"/>
      <c r="H135" s="3"/>
      <c r="I135" s="31"/>
    </row>
    <row r="136" spans="2:9" x14ac:dyDescent="0.2">
      <c r="B136" s="21"/>
      <c r="C136" s="21"/>
      <c r="D136" s="21"/>
    </row>
    <row r="137" spans="2:9" x14ac:dyDescent="0.2">
      <c r="B137" s="21"/>
      <c r="C137" s="21"/>
      <c r="D137" s="21"/>
    </row>
    <row r="138" spans="2:9" x14ac:dyDescent="0.2">
      <c r="B138" s="21"/>
      <c r="C138" s="21"/>
      <c r="D138" s="21"/>
    </row>
    <row r="139" spans="2:9" x14ac:dyDescent="0.2">
      <c r="B139" s="21"/>
      <c r="C139" s="21"/>
      <c r="D139" s="21"/>
    </row>
    <row r="140" spans="2:9" x14ac:dyDescent="0.2">
      <c r="B140" s="21"/>
      <c r="C140" s="21"/>
      <c r="D140" s="21"/>
    </row>
    <row r="141" spans="2:9" x14ac:dyDescent="0.2">
      <c r="B141" s="21"/>
      <c r="C141" s="21"/>
      <c r="D141" s="21"/>
    </row>
    <row r="142" spans="2:9" x14ac:dyDescent="0.2">
      <c r="B142" s="21"/>
      <c r="C142" s="21"/>
      <c r="D142" s="21"/>
    </row>
    <row r="143" spans="2:9" x14ac:dyDescent="0.2">
      <c r="B143" s="21"/>
      <c r="C143" s="21"/>
      <c r="D143" s="21"/>
    </row>
    <row r="144" spans="2:9" x14ac:dyDescent="0.2">
      <c r="B144" s="21"/>
      <c r="C144" s="21"/>
      <c r="D144" s="21"/>
    </row>
    <row r="145" spans="2:4" x14ac:dyDescent="0.2">
      <c r="B145" s="21"/>
      <c r="C145" s="21"/>
      <c r="D145" s="21"/>
    </row>
    <row r="146" spans="2:4" x14ac:dyDescent="0.2">
      <c r="B146" s="21"/>
      <c r="C146" s="21"/>
      <c r="D146" s="21"/>
    </row>
    <row r="147" spans="2:4" x14ac:dyDescent="0.2">
      <c r="B147" s="21"/>
      <c r="C147" s="21"/>
      <c r="D147" s="21"/>
    </row>
    <row r="148" spans="2:4" x14ac:dyDescent="0.2">
      <c r="B148" s="21"/>
      <c r="C148" s="21"/>
      <c r="D148" s="21"/>
    </row>
    <row r="149" spans="2:4" x14ac:dyDescent="0.2">
      <c r="B149" s="21"/>
      <c r="C149" s="21"/>
      <c r="D149" s="21"/>
    </row>
    <row r="150" spans="2:4" x14ac:dyDescent="0.2">
      <c r="B150" s="21"/>
      <c r="C150" s="21"/>
      <c r="D150" s="21"/>
    </row>
    <row r="151" spans="2:4" x14ac:dyDescent="0.2">
      <c r="B151" s="21"/>
      <c r="C151" s="21"/>
      <c r="D151" s="21"/>
    </row>
    <row r="152" spans="2:4" x14ac:dyDescent="0.2">
      <c r="B152" s="21"/>
      <c r="C152" s="21"/>
      <c r="D152" s="21"/>
    </row>
    <row r="153" spans="2:4" x14ac:dyDescent="0.2">
      <c r="B153" s="21"/>
      <c r="C153" s="21"/>
      <c r="D153" s="21"/>
    </row>
    <row r="154" spans="2:4" x14ac:dyDescent="0.2">
      <c r="B154" s="21"/>
      <c r="C154" s="21"/>
      <c r="D154" s="21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</sheetData>
  <printOptions horizontalCentered="1" headings="1" gridLines="1"/>
  <pageMargins left="0.25" right="0.25" top="0.25" bottom="0.25" header="0.5" footer="0.5"/>
  <pageSetup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Lineal</vt:lpstr>
      <vt:lpstr>Potencial</vt:lpstr>
      <vt:lpstr>Exponencial</vt:lpstr>
      <vt:lpstr>Logaritmico</vt:lpstr>
      <vt:lpstr>Polinomica_2</vt:lpstr>
      <vt:lpstr>RESUMEN</vt:lpstr>
      <vt:lpstr>Exponencial!Área_de_impresión</vt:lpstr>
      <vt:lpstr>Lineal!Área_de_impresión</vt:lpstr>
      <vt:lpstr>Logaritmico!Área_de_impresión</vt:lpstr>
      <vt:lpstr>Polinomica_2!Área_de_impresión</vt:lpstr>
      <vt:lpstr>Potencial!Área_de_impresión</vt:lpstr>
      <vt:lpstr>RESUMEN!Área_de_impresión</vt:lpstr>
    </vt:vector>
  </TitlesOfParts>
  <Company>CBA_UH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Gardner</dc:creator>
  <cp:lastModifiedBy>Rubén Ríos Chipana</cp:lastModifiedBy>
  <cp:lastPrinted>2002-02-07T20:18:12Z</cp:lastPrinted>
  <dcterms:created xsi:type="dcterms:W3CDTF">2001-02-14T18:35:16Z</dcterms:created>
  <dcterms:modified xsi:type="dcterms:W3CDTF">2026-07-06T06:39:47Z</dcterms:modified>
</cp:coreProperties>
</file>